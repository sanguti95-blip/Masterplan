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192841594e7bcf4/Documentos/app de pedidos/"/>
    </mc:Choice>
  </mc:AlternateContent>
  <xr:revisionPtr revIDLastSave="1" documentId="8_{7FB95A76-6505-4D7D-BF84-F7ADCCBF755B}" xr6:coauthVersionLast="47" xr6:coauthVersionMax="47" xr10:uidLastSave="{3F02866F-9315-4AD6-8A5F-42A9323DB102}"/>
  <bookViews>
    <workbookView xWindow="-108" yWindow="-108" windowWidth="23256" windowHeight="12456" firstSheet="1" activeTab="2" xr2:uid="{00000000-000D-0000-FFFF-FFFF00000000}"/>
  </bookViews>
  <sheets>
    <sheet name="Configuración" sheetId="1" state="hidden" r:id="rId1"/>
    <sheet name="Pedidos" sheetId="2" r:id="rId2"/>
    <sheet name="Hoja1" sheetId="5" r:id="rId3"/>
    <sheet name="Instrucciones" sheetId="3" state="hidden" r:id="rId4"/>
  </sheets>
  <definedNames>
    <definedName name="_xlnm._FilterDatabase" localSheetId="1" hidden="1">Pedidos!$A$1:$N$1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116" i="2"/>
  <c r="P107" i="2"/>
  <c r="G4" i="2"/>
  <c r="P156" i="2"/>
  <c r="G156" i="2"/>
  <c r="D156" i="2"/>
  <c r="F156" i="2" s="1"/>
  <c r="P155" i="2"/>
  <c r="G155" i="2"/>
  <c r="D155" i="2"/>
  <c r="F155" i="2" s="1"/>
  <c r="P154" i="2"/>
  <c r="G154" i="2"/>
  <c r="D154" i="2"/>
  <c r="F154" i="2" s="1"/>
  <c r="P153" i="2"/>
  <c r="G153" i="2"/>
  <c r="D153" i="2"/>
  <c r="F153" i="2" s="1"/>
  <c r="P152" i="2"/>
  <c r="G152" i="2"/>
  <c r="D152" i="2"/>
  <c r="F152" i="2" s="1"/>
  <c r="P151" i="2"/>
  <c r="G151" i="2"/>
  <c r="D151" i="2"/>
  <c r="F151" i="2" s="1"/>
  <c r="P150" i="2"/>
  <c r="G150" i="2"/>
  <c r="D150" i="2"/>
  <c r="F150" i="2" s="1"/>
  <c r="P149" i="2"/>
  <c r="G149" i="2"/>
  <c r="D149" i="2"/>
  <c r="F149" i="2" s="1"/>
  <c r="P148" i="2"/>
  <c r="G148" i="2"/>
  <c r="D148" i="2"/>
  <c r="F148" i="2" s="1"/>
  <c r="P147" i="2"/>
  <c r="G147" i="2"/>
  <c r="D147" i="2"/>
  <c r="F147" i="2" s="1"/>
  <c r="P146" i="2"/>
  <c r="G146" i="2"/>
  <c r="D146" i="2"/>
  <c r="F146" i="2" s="1"/>
  <c r="P145" i="2"/>
  <c r="G145" i="2"/>
  <c r="D145" i="2"/>
  <c r="F145" i="2" s="1"/>
  <c r="P144" i="2"/>
  <c r="G144" i="2"/>
  <c r="D144" i="2"/>
  <c r="F144" i="2" s="1"/>
  <c r="P143" i="2"/>
  <c r="G143" i="2"/>
  <c r="D143" i="2"/>
  <c r="F143" i="2" s="1"/>
  <c r="P142" i="2"/>
  <c r="G142" i="2"/>
  <c r="D142" i="2"/>
  <c r="F142" i="2" s="1"/>
  <c r="P141" i="2"/>
  <c r="G141" i="2"/>
  <c r="D141" i="2"/>
  <c r="F141" i="2" s="1"/>
  <c r="P140" i="2"/>
  <c r="G140" i="2"/>
  <c r="D140" i="2"/>
  <c r="F140" i="2" s="1"/>
  <c r="P139" i="2"/>
  <c r="G139" i="2"/>
  <c r="D139" i="2"/>
  <c r="F139" i="2" s="1"/>
  <c r="P138" i="2"/>
  <c r="G138" i="2"/>
  <c r="F138" i="2"/>
  <c r="P137" i="2"/>
  <c r="G137" i="2"/>
  <c r="D137" i="2"/>
  <c r="F137" i="2" s="1"/>
  <c r="P136" i="2"/>
  <c r="G136" i="2"/>
  <c r="D136" i="2"/>
  <c r="F136" i="2" s="1"/>
  <c r="P135" i="2"/>
  <c r="G135" i="2"/>
  <c r="D135" i="2"/>
  <c r="F135" i="2" s="1"/>
  <c r="P134" i="2"/>
  <c r="G134" i="2"/>
  <c r="D134" i="2"/>
  <c r="F134" i="2" s="1"/>
  <c r="P133" i="2"/>
  <c r="G133" i="2"/>
  <c r="D133" i="2"/>
  <c r="F133" i="2" s="1"/>
  <c r="P132" i="2"/>
  <c r="G132" i="2"/>
  <c r="D132" i="2"/>
  <c r="F132" i="2" s="1"/>
  <c r="P131" i="2"/>
  <c r="G131" i="2"/>
  <c r="D131" i="2"/>
  <c r="F131" i="2" s="1"/>
  <c r="P130" i="2"/>
  <c r="G130" i="2"/>
  <c r="D130" i="2"/>
  <c r="F130" i="2" s="1"/>
  <c r="P129" i="2"/>
  <c r="G129" i="2"/>
  <c r="D129" i="2"/>
  <c r="F129" i="2" s="1"/>
  <c r="P128" i="2"/>
  <c r="G128" i="2"/>
  <c r="D128" i="2"/>
  <c r="F128" i="2" s="1"/>
  <c r="P127" i="2"/>
  <c r="G127" i="2"/>
  <c r="D127" i="2"/>
  <c r="F127" i="2" s="1"/>
  <c r="P126" i="2"/>
  <c r="G126" i="2"/>
  <c r="D126" i="2"/>
  <c r="F126" i="2" s="1"/>
  <c r="P125" i="2"/>
  <c r="G125" i="2"/>
  <c r="D125" i="2"/>
  <c r="F125" i="2" s="1"/>
  <c r="P124" i="2"/>
  <c r="G124" i="2"/>
  <c r="D124" i="2"/>
  <c r="F124" i="2" s="1"/>
  <c r="P123" i="2"/>
  <c r="G123" i="2"/>
  <c r="D123" i="2"/>
  <c r="F123" i="2" s="1"/>
  <c r="P122" i="2"/>
  <c r="G122" i="2"/>
  <c r="D122" i="2"/>
  <c r="F122" i="2" s="1"/>
  <c r="P121" i="2"/>
  <c r="G121" i="2"/>
  <c r="D121" i="2"/>
  <c r="F121" i="2" s="1"/>
  <c r="P120" i="2"/>
  <c r="G120" i="2"/>
  <c r="D120" i="2"/>
  <c r="F120" i="2" s="1"/>
  <c r="P119" i="2"/>
  <c r="G119" i="2"/>
  <c r="D119" i="2"/>
  <c r="F119" i="2" s="1"/>
  <c r="P118" i="2"/>
  <c r="G118" i="2"/>
  <c r="D118" i="2"/>
  <c r="F118" i="2" s="1"/>
  <c r="P117" i="2"/>
  <c r="G117" i="2"/>
  <c r="D117" i="2"/>
  <c r="F117" i="2" s="1"/>
  <c r="P116" i="2"/>
  <c r="D116" i="2"/>
  <c r="F116" i="2" s="1"/>
  <c r="P115" i="2"/>
  <c r="G115" i="2"/>
  <c r="D115" i="2"/>
  <c r="F115" i="2" s="1"/>
  <c r="P114" i="2"/>
  <c r="G114" i="2"/>
  <c r="D114" i="2"/>
  <c r="F114" i="2" s="1"/>
  <c r="P113" i="2"/>
  <c r="G113" i="2"/>
  <c r="D113" i="2"/>
  <c r="F113" i="2" s="1"/>
  <c r="P112" i="2"/>
  <c r="G112" i="2"/>
  <c r="D112" i="2"/>
  <c r="F112" i="2" s="1"/>
  <c r="P111" i="2"/>
  <c r="G111" i="2"/>
  <c r="D111" i="2"/>
  <c r="F111" i="2" s="1"/>
  <c r="P110" i="2"/>
  <c r="G110" i="2"/>
  <c r="D110" i="2"/>
  <c r="F110" i="2" s="1"/>
  <c r="P109" i="2"/>
  <c r="G109" i="2"/>
  <c r="D109" i="2"/>
  <c r="F109" i="2" s="1"/>
  <c r="P108" i="2"/>
  <c r="G108" i="2"/>
  <c r="D108" i="2"/>
  <c r="F108" i="2" s="1"/>
  <c r="G107" i="2"/>
  <c r="D107" i="2"/>
  <c r="F107" i="2" s="1"/>
  <c r="P106" i="2"/>
  <c r="G106" i="2"/>
  <c r="D106" i="2"/>
  <c r="F106" i="2" s="1"/>
  <c r="P105" i="2"/>
  <c r="G105" i="2"/>
  <c r="D105" i="2"/>
  <c r="F105" i="2" s="1"/>
  <c r="P104" i="2"/>
  <c r="G104" i="2"/>
  <c r="D104" i="2"/>
  <c r="F104" i="2" s="1"/>
  <c r="P103" i="2"/>
  <c r="G103" i="2"/>
  <c r="D103" i="2"/>
  <c r="F103" i="2" s="1"/>
  <c r="P102" i="2"/>
  <c r="G102" i="2"/>
  <c r="D102" i="2"/>
  <c r="F102" i="2" s="1"/>
  <c r="P101" i="2"/>
  <c r="G101" i="2"/>
  <c r="D101" i="2"/>
  <c r="F101" i="2" s="1"/>
  <c r="P100" i="2"/>
  <c r="G100" i="2"/>
  <c r="D100" i="2"/>
  <c r="F100" i="2" s="1"/>
  <c r="P99" i="2"/>
  <c r="G99" i="2"/>
  <c r="D99" i="2"/>
  <c r="F99" i="2" s="1"/>
  <c r="P98" i="2"/>
  <c r="G98" i="2"/>
  <c r="D98" i="2"/>
  <c r="F98" i="2" s="1"/>
  <c r="P97" i="2"/>
  <c r="G97" i="2"/>
  <c r="D97" i="2"/>
  <c r="F97" i="2" s="1"/>
  <c r="P96" i="2"/>
  <c r="G96" i="2"/>
  <c r="D96" i="2"/>
  <c r="F96" i="2" s="1"/>
  <c r="P95" i="2"/>
  <c r="G95" i="2"/>
  <c r="D95" i="2"/>
  <c r="F95" i="2" s="1"/>
  <c r="P94" i="2"/>
  <c r="G94" i="2"/>
  <c r="D94" i="2"/>
  <c r="F94" i="2" s="1"/>
  <c r="P93" i="2"/>
  <c r="G93" i="2"/>
  <c r="D93" i="2"/>
  <c r="F93" i="2" s="1"/>
  <c r="P92" i="2"/>
  <c r="G92" i="2"/>
  <c r="D92" i="2"/>
  <c r="F92" i="2" s="1"/>
  <c r="P91" i="2"/>
  <c r="G91" i="2"/>
  <c r="D91" i="2"/>
  <c r="F91" i="2" s="1"/>
  <c r="P90" i="2"/>
  <c r="G90" i="2"/>
  <c r="D90" i="2"/>
  <c r="F90" i="2" s="1"/>
  <c r="P89" i="2"/>
  <c r="G89" i="2"/>
  <c r="D89" i="2"/>
  <c r="F89" i="2" s="1"/>
  <c r="P88" i="2"/>
  <c r="G88" i="2"/>
  <c r="D88" i="2"/>
  <c r="F88" i="2" s="1"/>
  <c r="P87" i="2"/>
  <c r="G87" i="2"/>
  <c r="D87" i="2"/>
  <c r="F87" i="2" s="1"/>
  <c r="P86" i="2"/>
  <c r="G86" i="2"/>
  <c r="D86" i="2"/>
  <c r="F86" i="2" s="1"/>
  <c r="P85" i="2"/>
  <c r="G85" i="2"/>
  <c r="D85" i="2"/>
  <c r="F85" i="2" s="1"/>
  <c r="P84" i="2"/>
  <c r="G84" i="2"/>
  <c r="D84" i="2"/>
  <c r="F84" i="2" s="1"/>
  <c r="P83" i="2"/>
  <c r="G83" i="2"/>
  <c r="D83" i="2"/>
  <c r="F83" i="2" s="1"/>
  <c r="P82" i="2"/>
  <c r="G82" i="2"/>
  <c r="D82" i="2"/>
  <c r="F82" i="2" s="1"/>
  <c r="P81" i="2"/>
  <c r="G81" i="2"/>
  <c r="D81" i="2"/>
  <c r="F81" i="2" s="1"/>
  <c r="P80" i="2"/>
  <c r="G80" i="2"/>
  <c r="D80" i="2"/>
  <c r="F80" i="2" s="1"/>
  <c r="P79" i="2"/>
  <c r="G79" i="2"/>
  <c r="D79" i="2"/>
  <c r="F79" i="2" s="1"/>
  <c r="P78" i="2"/>
  <c r="G78" i="2"/>
  <c r="D78" i="2"/>
  <c r="F78" i="2" s="1"/>
  <c r="P77" i="2"/>
  <c r="G77" i="2"/>
  <c r="D77" i="2"/>
  <c r="F77" i="2" s="1"/>
  <c r="P76" i="2"/>
  <c r="G76" i="2"/>
  <c r="D76" i="2"/>
  <c r="F76" i="2" s="1"/>
  <c r="P75" i="2"/>
  <c r="G75" i="2"/>
  <c r="D75" i="2"/>
  <c r="F75" i="2" s="1"/>
  <c r="P74" i="2"/>
  <c r="G74" i="2"/>
  <c r="D74" i="2"/>
  <c r="F74" i="2" s="1"/>
  <c r="P73" i="2"/>
  <c r="G73" i="2"/>
  <c r="D73" i="2"/>
  <c r="F73" i="2" s="1"/>
  <c r="P72" i="2"/>
  <c r="G72" i="2"/>
  <c r="D72" i="2"/>
  <c r="F72" i="2" s="1"/>
  <c r="P71" i="2"/>
  <c r="G71" i="2"/>
  <c r="D71" i="2"/>
  <c r="F71" i="2" s="1"/>
  <c r="P70" i="2"/>
  <c r="G70" i="2"/>
  <c r="D70" i="2"/>
  <c r="F70" i="2" s="1"/>
  <c r="P69" i="2"/>
  <c r="G69" i="2"/>
  <c r="D69" i="2"/>
  <c r="F69" i="2" s="1"/>
  <c r="P68" i="2"/>
  <c r="G68" i="2"/>
  <c r="D68" i="2"/>
  <c r="F68" i="2" s="1"/>
  <c r="P67" i="2"/>
  <c r="G67" i="2"/>
  <c r="D67" i="2"/>
  <c r="F67" i="2" s="1"/>
  <c r="P66" i="2"/>
  <c r="G66" i="2"/>
  <c r="D66" i="2"/>
  <c r="F66" i="2" s="1"/>
  <c r="P65" i="2"/>
  <c r="G65" i="2"/>
  <c r="D65" i="2"/>
  <c r="F65" i="2" s="1"/>
  <c r="P64" i="2"/>
  <c r="G64" i="2"/>
  <c r="D64" i="2"/>
  <c r="F64" i="2" s="1"/>
  <c r="P63" i="2"/>
  <c r="G63" i="2"/>
  <c r="D63" i="2"/>
  <c r="F63" i="2" s="1"/>
  <c r="P62" i="2"/>
  <c r="D62" i="2"/>
  <c r="F62" i="2" s="1"/>
  <c r="P61" i="2"/>
  <c r="G61" i="2"/>
  <c r="D61" i="2"/>
  <c r="F61" i="2" s="1"/>
  <c r="P60" i="2"/>
  <c r="G60" i="2"/>
  <c r="D60" i="2"/>
  <c r="F60" i="2" s="1"/>
  <c r="P59" i="2"/>
  <c r="G59" i="2"/>
  <c r="D59" i="2"/>
  <c r="F59" i="2" s="1"/>
  <c r="P58" i="2"/>
  <c r="G58" i="2"/>
  <c r="D58" i="2"/>
  <c r="F58" i="2" s="1"/>
  <c r="P57" i="2"/>
  <c r="G57" i="2"/>
  <c r="D57" i="2"/>
  <c r="F57" i="2" s="1"/>
  <c r="P56" i="2"/>
  <c r="G56" i="2"/>
  <c r="D56" i="2"/>
  <c r="F56" i="2" s="1"/>
  <c r="P55" i="2"/>
  <c r="G55" i="2"/>
  <c r="D55" i="2"/>
  <c r="F55" i="2" s="1"/>
  <c r="P54" i="2"/>
  <c r="G54" i="2"/>
  <c r="D54" i="2"/>
  <c r="F54" i="2" s="1"/>
  <c r="P53" i="2"/>
  <c r="G53" i="2"/>
  <c r="D53" i="2"/>
  <c r="F53" i="2" s="1"/>
  <c r="P52" i="2"/>
  <c r="G52" i="2"/>
  <c r="D52" i="2"/>
  <c r="F52" i="2" s="1"/>
  <c r="P51" i="2"/>
  <c r="G51" i="2"/>
  <c r="D51" i="2"/>
  <c r="F51" i="2" s="1"/>
  <c r="P50" i="2"/>
  <c r="G50" i="2"/>
  <c r="D50" i="2"/>
  <c r="F50" i="2" s="1"/>
  <c r="P49" i="2"/>
  <c r="G49" i="2"/>
  <c r="D49" i="2"/>
  <c r="F49" i="2" s="1"/>
  <c r="P48" i="2"/>
  <c r="G48" i="2"/>
  <c r="D48" i="2"/>
  <c r="F48" i="2" s="1"/>
  <c r="P47" i="2"/>
  <c r="G47" i="2"/>
  <c r="D47" i="2"/>
  <c r="F47" i="2" s="1"/>
  <c r="P46" i="2"/>
  <c r="G46" i="2"/>
  <c r="D46" i="2"/>
  <c r="F46" i="2" s="1"/>
  <c r="P45" i="2"/>
  <c r="G45" i="2"/>
  <c r="D45" i="2"/>
  <c r="F45" i="2" s="1"/>
  <c r="P44" i="2"/>
  <c r="G44" i="2"/>
  <c r="D44" i="2"/>
  <c r="F44" i="2" s="1"/>
  <c r="P43" i="2"/>
  <c r="G43" i="2"/>
  <c r="D43" i="2"/>
  <c r="F43" i="2" s="1"/>
  <c r="P42" i="2"/>
  <c r="G42" i="2"/>
  <c r="D42" i="2"/>
  <c r="F42" i="2" s="1"/>
  <c r="P41" i="2"/>
  <c r="G41" i="2"/>
  <c r="D41" i="2"/>
  <c r="F41" i="2" s="1"/>
  <c r="P40" i="2"/>
  <c r="G40" i="2"/>
  <c r="D40" i="2"/>
  <c r="F40" i="2" s="1"/>
  <c r="P39" i="2"/>
  <c r="G39" i="2"/>
  <c r="D39" i="2"/>
  <c r="F39" i="2" s="1"/>
  <c r="P38" i="2"/>
  <c r="G38" i="2"/>
  <c r="D38" i="2"/>
  <c r="F38" i="2" s="1"/>
  <c r="P37" i="2"/>
  <c r="G37" i="2"/>
  <c r="D37" i="2"/>
  <c r="F37" i="2" s="1"/>
  <c r="P36" i="2"/>
  <c r="G36" i="2"/>
  <c r="D36" i="2"/>
  <c r="F36" i="2" s="1"/>
  <c r="P35" i="2"/>
  <c r="G35" i="2"/>
  <c r="D35" i="2"/>
  <c r="F35" i="2" s="1"/>
  <c r="P34" i="2"/>
  <c r="G34" i="2"/>
  <c r="D34" i="2"/>
  <c r="F34" i="2" s="1"/>
  <c r="P33" i="2"/>
  <c r="G33" i="2"/>
  <c r="D33" i="2"/>
  <c r="F33" i="2" s="1"/>
  <c r="P32" i="2"/>
  <c r="G32" i="2"/>
  <c r="D32" i="2"/>
  <c r="F32" i="2" s="1"/>
  <c r="P31" i="2"/>
  <c r="G31" i="2"/>
  <c r="D31" i="2"/>
  <c r="F31" i="2" s="1"/>
  <c r="P30" i="2"/>
  <c r="G30" i="2"/>
  <c r="D30" i="2"/>
  <c r="F30" i="2" s="1"/>
  <c r="P29" i="2"/>
  <c r="G29" i="2"/>
  <c r="D29" i="2"/>
  <c r="F29" i="2" s="1"/>
  <c r="P28" i="2"/>
  <c r="G28" i="2"/>
  <c r="D28" i="2"/>
  <c r="F28" i="2" s="1"/>
  <c r="P27" i="2"/>
  <c r="G27" i="2"/>
  <c r="D27" i="2"/>
  <c r="F27" i="2" s="1"/>
  <c r="P26" i="2"/>
  <c r="G26" i="2"/>
  <c r="D26" i="2"/>
  <c r="F26" i="2" s="1"/>
  <c r="P25" i="2"/>
  <c r="G25" i="2"/>
  <c r="D25" i="2"/>
  <c r="F25" i="2" s="1"/>
  <c r="P24" i="2"/>
  <c r="G24" i="2"/>
  <c r="D24" i="2"/>
  <c r="F24" i="2" s="1"/>
  <c r="P23" i="2"/>
  <c r="G23" i="2"/>
  <c r="D23" i="2"/>
  <c r="F23" i="2" s="1"/>
  <c r="P22" i="2"/>
  <c r="G22" i="2"/>
  <c r="D22" i="2"/>
  <c r="F22" i="2" s="1"/>
  <c r="P21" i="2"/>
  <c r="G21" i="2"/>
  <c r="D21" i="2"/>
  <c r="F21" i="2" s="1"/>
  <c r="P20" i="2"/>
  <c r="G20" i="2"/>
  <c r="D20" i="2"/>
  <c r="F20" i="2" s="1"/>
  <c r="P19" i="2"/>
  <c r="G19" i="2"/>
  <c r="D19" i="2"/>
  <c r="F19" i="2" s="1"/>
  <c r="P18" i="2"/>
  <c r="G18" i="2"/>
  <c r="D18" i="2"/>
  <c r="F18" i="2" s="1"/>
  <c r="P17" i="2"/>
  <c r="G17" i="2"/>
  <c r="D17" i="2"/>
  <c r="F17" i="2" s="1"/>
  <c r="P16" i="2"/>
  <c r="G16" i="2"/>
  <c r="D16" i="2"/>
  <c r="F16" i="2" s="1"/>
  <c r="P15" i="2"/>
  <c r="G15" i="2"/>
  <c r="D15" i="2"/>
  <c r="F15" i="2" s="1"/>
  <c r="P14" i="2"/>
  <c r="G14" i="2"/>
  <c r="D14" i="2"/>
  <c r="F14" i="2" s="1"/>
  <c r="G13" i="2"/>
  <c r="D13" i="2"/>
  <c r="F13" i="2" s="1"/>
  <c r="P12" i="2"/>
  <c r="G12" i="2"/>
  <c r="D12" i="2"/>
  <c r="F12" i="2" s="1"/>
  <c r="P11" i="2"/>
  <c r="G11" i="2"/>
  <c r="D11" i="2"/>
  <c r="F11" i="2" s="1"/>
  <c r="P10" i="2"/>
  <c r="G10" i="2"/>
  <c r="D10" i="2"/>
  <c r="F10" i="2" s="1"/>
  <c r="P9" i="2"/>
  <c r="G9" i="2"/>
  <c r="D9" i="2"/>
  <c r="F9" i="2" s="1"/>
  <c r="P8" i="2"/>
  <c r="G8" i="2"/>
  <c r="D8" i="2"/>
  <c r="F8" i="2" s="1"/>
  <c r="P7" i="2"/>
  <c r="G7" i="2"/>
  <c r="D7" i="2"/>
  <c r="F7" i="2" s="1"/>
  <c r="P6" i="2"/>
  <c r="G6" i="2"/>
  <c r="D6" i="2"/>
  <c r="F6" i="2" s="1"/>
  <c r="P5" i="2"/>
  <c r="G5" i="2"/>
  <c r="D5" i="2"/>
  <c r="F5" i="2" s="1"/>
  <c r="P4" i="2"/>
  <c r="D4" i="2"/>
  <c r="F4" i="2" s="1"/>
  <c r="P3" i="2"/>
  <c r="D3" i="2"/>
  <c r="F3" i="2" s="1"/>
  <c r="P2" i="2"/>
  <c r="G2" i="2"/>
  <c r="D2" i="2"/>
  <c r="F2" i="2" s="1"/>
  <c r="M34" i="2" l="1"/>
  <c r="N34" i="2" s="1"/>
  <c r="M134" i="2"/>
  <c r="N134" i="2" s="1"/>
  <c r="M142" i="2"/>
  <c r="N142" i="2" s="1"/>
  <c r="M7" i="2"/>
  <c r="N7" i="2" s="1"/>
  <c r="M40" i="2"/>
  <c r="N40" i="2" s="1"/>
  <c r="M52" i="2"/>
  <c r="N52" i="2" s="1"/>
  <c r="M11" i="2"/>
  <c r="N11" i="2" s="1"/>
  <c r="M146" i="2"/>
  <c r="N146" i="2" s="1"/>
  <c r="M150" i="2"/>
  <c r="N150" i="2" s="1"/>
  <c r="M37" i="2"/>
  <c r="N37" i="2" s="1"/>
  <c r="M49" i="2"/>
  <c r="N49" i="2" s="1"/>
  <c r="M53" i="2"/>
  <c r="N53" i="2" s="1"/>
  <c r="M58" i="2"/>
  <c r="N58" i="2" s="1"/>
  <c r="L9" i="2"/>
  <c r="M19" i="2"/>
  <c r="N19" i="2" s="1"/>
  <c r="M31" i="2"/>
  <c r="N31" i="2" s="1"/>
  <c r="M63" i="2"/>
  <c r="N63" i="2" s="1"/>
  <c r="M71" i="2"/>
  <c r="N71" i="2" s="1"/>
  <c r="M75" i="2"/>
  <c r="N75" i="2" s="1"/>
  <c r="M79" i="2"/>
  <c r="N79" i="2" s="1"/>
  <c r="M83" i="2"/>
  <c r="N83" i="2" s="1"/>
  <c r="M87" i="2"/>
  <c r="N87" i="2" s="1"/>
  <c r="M91" i="2"/>
  <c r="N91" i="2" s="1"/>
  <c r="M95" i="2"/>
  <c r="N95" i="2" s="1"/>
  <c r="M99" i="2"/>
  <c r="N99" i="2" s="1"/>
  <c r="M107" i="2"/>
  <c r="N107" i="2" s="1"/>
  <c r="M111" i="2"/>
  <c r="N111" i="2" s="1"/>
  <c r="M115" i="2"/>
  <c r="N115" i="2" s="1"/>
  <c r="M119" i="2"/>
  <c r="N119" i="2" s="1"/>
  <c r="M28" i="2"/>
  <c r="N28" i="2" s="1"/>
  <c r="M32" i="2"/>
  <c r="N32" i="2" s="1"/>
  <c r="M68" i="2"/>
  <c r="N68" i="2" s="1"/>
  <c r="M76" i="2"/>
  <c r="N76" i="2" s="1"/>
  <c r="M80" i="2"/>
  <c r="N80" i="2" s="1"/>
  <c r="M108" i="2"/>
  <c r="N108" i="2" s="1"/>
  <c r="M77" i="2"/>
  <c r="N77" i="2" s="1"/>
  <c r="M85" i="2"/>
  <c r="N85" i="2" s="1"/>
  <c r="M113" i="2"/>
  <c r="N113" i="2" s="1"/>
  <c r="L30" i="2"/>
  <c r="M42" i="2"/>
  <c r="N42" i="2" s="1"/>
  <c r="M46" i="2"/>
  <c r="N46" i="2" s="1"/>
  <c r="M74" i="2"/>
  <c r="N74" i="2" s="1"/>
  <c r="M86" i="2"/>
  <c r="N86" i="2" s="1"/>
  <c r="M90" i="2"/>
  <c r="N90" i="2" s="1"/>
  <c r="M98" i="2"/>
  <c r="N98" i="2" s="1"/>
  <c r="M114" i="2"/>
  <c r="N114" i="2" s="1"/>
  <c r="M138" i="2"/>
  <c r="N138" i="2" s="1"/>
  <c r="M16" i="2"/>
  <c r="N16" i="2" s="1"/>
  <c r="M24" i="2"/>
  <c r="N24" i="2" s="1"/>
  <c r="M55" i="2"/>
  <c r="N55" i="2" s="1"/>
  <c r="M123" i="2"/>
  <c r="N123" i="2" s="1"/>
  <c r="M127" i="2"/>
  <c r="N127" i="2" s="1"/>
  <c r="M131" i="2"/>
  <c r="N131" i="2" s="1"/>
  <c r="M135" i="2"/>
  <c r="N135" i="2" s="1"/>
  <c r="M139" i="2"/>
  <c r="N139" i="2" s="1"/>
  <c r="M143" i="2"/>
  <c r="N143" i="2" s="1"/>
  <c r="M147" i="2"/>
  <c r="N147" i="2" s="1"/>
  <c r="M151" i="2"/>
  <c r="N151" i="2" s="1"/>
  <c r="L36" i="2"/>
  <c r="M21" i="2"/>
  <c r="N21" i="2" s="1"/>
  <c r="M25" i="2"/>
  <c r="N25" i="2" s="1"/>
  <c r="L48" i="2"/>
  <c r="L72" i="2"/>
  <c r="M132" i="2"/>
  <c r="N132" i="2" s="1"/>
  <c r="M144" i="2"/>
  <c r="N144" i="2" s="1"/>
  <c r="M13" i="2"/>
  <c r="N13" i="2" s="1"/>
  <c r="M29" i="2"/>
  <c r="N29" i="2" s="1"/>
  <c r="M156" i="2"/>
  <c r="N156" i="2" s="1"/>
  <c r="L5" i="2"/>
  <c r="M22" i="2"/>
  <c r="N22" i="2" s="1"/>
  <c r="L41" i="2"/>
  <c r="M57" i="2"/>
  <c r="N57" i="2" s="1"/>
  <c r="M61" i="2"/>
  <c r="N61" i="2" s="1"/>
  <c r="M121" i="2"/>
  <c r="N121" i="2" s="1"/>
  <c r="L99" i="2"/>
  <c r="M88" i="2"/>
  <c r="N88" i="2" s="1"/>
  <c r="M92" i="2"/>
  <c r="N92" i="2" s="1"/>
  <c r="L103" i="2"/>
  <c r="M122" i="2"/>
  <c r="N122" i="2" s="1"/>
  <c r="L153" i="2"/>
  <c r="L27" i="2"/>
  <c r="L126" i="2"/>
  <c r="L84" i="2"/>
  <c r="L53" i="2"/>
  <c r="L85" i="2"/>
  <c r="L108" i="2"/>
  <c r="M17" i="2"/>
  <c r="N17" i="2" s="1"/>
  <c r="M43" i="2"/>
  <c r="N43" i="2" s="1"/>
  <c r="M78" i="2"/>
  <c r="N78" i="2" s="1"/>
  <c r="M101" i="2"/>
  <c r="N101" i="2" s="1"/>
  <c r="M155" i="2"/>
  <c r="N155" i="2" s="1"/>
  <c r="L67" i="2"/>
  <c r="L120" i="2"/>
  <c r="L12" i="2"/>
  <c r="M2" i="2"/>
  <c r="N2" i="2" s="1"/>
  <c r="M6" i="2"/>
  <c r="N6" i="2" s="1"/>
  <c r="M44" i="2"/>
  <c r="N44" i="2" s="1"/>
  <c r="L136" i="2"/>
  <c r="L20" i="2"/>
  <c r="M30" i="2"/>
  <c r="N30" i="2" s="1"/>
  <c r="M41" i="2"/>
  <c r="N41" i="2" s="1"/>
  <c r="M56" i="2"/>
  <c r="N56" i="2" s="1"/>
  <c r="M60" i="2"/>
  <c r="N60" i="2" s="1"/>
  <c r="L64" i="2"/>
  <c r="M72" i="2"/>
  <c r="N72" i="2" s="1"/>
  <c r="M110" i="2"/>
  <c r="N110" i="2" s="1"/>
  <c r="M125" i="2"/>
  <c r="N125" i="2" s="1"/>
  <c r="M137" i="2"/>
  <c r="N137" i="2" s="1"/>
  <c r="M141" i="2"/>
  <c r="N141" i="2" s="1"/>
  <c r="M145" i="2"/>
  <c r="N145" i="2" s="1"/>
  <c r="M73" i="2"/>
  <c r="N73" i="2" s="1"/>
  <c r="L73" i="2"/>
  <c r="M96" i="2"/>
  <c r="N96" i="2" s="1"/>
  <c r="L96" i="2"/>
  <c r="M97" i="2"/>
  <c r="N97" i="2" s="1"/>
  <c r="L97" i="2"/>
  <c r="L11" i="2"/>
  <c r="M10" i="2"/>
  <c r="N10" i="2" s="1"/>
  <c r="L10" i="2"/>
  <c r="L18" i="2"/>
  <c r="M18" i="2"/>
  <c r="N18" i="2" s="1"/>
  <c r="L29" i="2"/>
  <c r="L132" i="2"/>
  <c r="L54" i="2"/>
  <c r="M54" i="2"/>
  <c r="N54" i="2" s="1"/>
  <c r="L139" i="2"/>
  <c r="L151" i="2"/>
  <c r="L17" i="2"/>
  <c r="M20" i="2"/>
  <c r="N20" i="2" s="1"/>
  <c r="L24" i="2"/>
  <c r="L32" i="2"/>
  <c r="M36" i="2"/>
  <c r="N36" i="2" s="1"/>
  <c r="L68" i="2"/>
  <c r="L90" i="2"/>
  <c r="L113" i="2"/>
  <c r="L123" i="2"/>
  <c r="M12" i="2"/>
  <c r="N12" i="2" s="1"/>
  <c r="L42" i="2"/>
  <c r="M45" i="2"/>
  <c r="N45" i="2" s="1"/>
  <c r="L61" i="2"/>
  <c r="M65" i="2"/>
  <c r="N65" i="2" s="1"/>
  <c r="L74" i="2"/>
  <c r="M100" i="2"/>
  <c r="N100" i="2" s="1"/>
  <c r="M104" i="2"/>
  <c r="N104" i="2" s="1"/>
  <c r="L110" i="2"/>
  <c r="L127" i="2"/>
  <c r="L137" i="2"/>
  <c r="L87" i="2"/>
  <c r="L131" i="2"/>
  <c r="L134" i="2"/>
  <c r="L6" i="2"/>
  <c r="M3" i="2"/>
  <c r="N3" i="2" s="1"/>
  <c r="M33" i="2"/>
  <c r="N33" i="2" s="1"/>
  <c r="L49" i="2"/>
  <c r="M124" i="2"/>
  <c r="N124" i="2" s="1"/>
  <c r="M128" i="2"/>
  <c r="N128" i="2" s="1"/>
  <c r="P157" i="2"/>
  <c r="L55" i="2"/>
  <c r="L37" i="2"/>
  <c r="L111" i="2"/>
  <c r="L43" i="2"/>
  <c r="L98" i="2"/>
  <c r="L135" i="2"/>
  <c r="L75" i="2"/>
  <c r="L13" i="2"/>
  <c r="L19" i="2"/>
  <c r="L63" i="2"/>
  <c r="M67" i="2"/>
  <c r="N67" i="2" s="1"/>
  <c r="M102" i="2"/>
  <c r="N102" i="2" s="1"/>
  <c r="L119" i="2"/>
  <c r="L56" i="2"/>
  <c r="M89" i="2"/>
  <c r="N89" i="2" s="1"/>
  <c r="M109" i="2"/>
  <c r="N109" i="2" s="1"/>
  <c r="M112" i="2"/>
  <c r="N112" i="2" s="1"/>
  <c r="M116" i="2"/>
  <c r="N116" i="2" s="1"/>
  <c r="L122" i="2"/>
  <c r="L142" i="2"/>
  <c r="L25" i="2"/>
  <c r="L95" i="2"/>
  <c r="L31" i="2"/>
  <c r="M5" i="2"/>
  <c r="N5" i="2" s="1"/>
  <c r="M126" i="2"/>
  <c r="N126" i="2" s="1"/>
  <c r="M136" i="2"/>
  <c r="N136" i="2" s="1"/>
  <c r="L141" i="2"/>
  <c r="M9" i="2"/>
  <c r="N9" i="2" s="1"/>
  <c r="M27" i="2"/>
  <c r="N27" i="2" s="1"/>
  <c r="L44" i="2"/>
  <c r="M48" i="2"/>
  <c r="N48" i="2" s="1"/>
  <c r="M64" i="2"/>
  <c r="N64" i="2" s="1"/>
  <c r="M84" i="2"/>
  <c r="N84" i="2" s="1"/>
  <c r="L86" i="2"/>
  <c r="M103" i="2"/>
  <c r="N103" i="2" s="1"/>
  <c r="M120" i="2"/>
  <c r="N120" i="2" s="1"/>
  <c r="L150" i="2"/>
  <c r="M153" i="2"/>
  <c r="N153" i="2" s="1"/>
  <c r="M15" i="2"/>
  <c r="N15" i="2" s="1"/>
  <c r="L15" i="2"/>
  <c r="M81" i="2"/>
  <c r="N81" i="2" s="1"/>
  <c r="L81" i="2"/>
  <c r="M94" i="2"/>
  <c r="N94" i="2" s="1"/>
  <c r="L94" i="2"/>
  <c r="M117" i="2"/>
  <c r="N117" i="2" s="1"/>
  <c r="L117" i="2"/>
  <c r="M140" i="2"/>
  <c r="N140" i="2" s="1"/>
  <c r="L140" i="2"/>
  <c r="L57" i="2"/>
  <c r="L77" i="2"/>
  <c r="L143" i="2"/>
  <c r="L147" i="2"/>
  <c r="L62" i="2"/>
  <c r="M62" i="2"/>
  <c r="N62" i="2" s="1"/>
  <c r="M154" i="2"/>
  <c r="N154" i="2" s="1"/>
  <c r="L154" i="2"/>
  <c r="L91" i="2"/>
  <c r="M69" i="2"/>
  <c r="N69" i="2" s="1"/>
  <c r="L69" i="2"/>
  <c r="M82" i="2"/>
  <c r="N82" i="2" s="1"/>
  <c r="L82" i="2"/>
  <c r="L104" i="2"/>
  <c r="L50" i="2"/>
  <c r="M50" i="2"/>
  <c r="N50" i="2" s="1"/>
  <c r="L88" i="2"/>
  <c r="L115" i="2"/>
  <c r="M129" i="2"/>
  <c r="N129" i="2" s="1"/>
  <c r="L129" i="2"/>
  <c r="L145" i="2"/>
  <c r="L34" i="2"/>
  <c r="L38" i="2"/>
  <c r="M38" i="2"/>
  <c r="N38" i="2" s="1"/>
  <c r="M47" i="2"/>
  <c r="N47" i="2" s="1"/>
  <c r="L47" i="2"/>
  <c r="M106" i="2"/>
  <c r="N106" i="2" s="1"/>
  <c r="L106" i="2"/>
  <c r="L125" i="2"/>
  <c r="L65" i="2"/>
  <c r="L100" i="2"/>
  <c r="L58" i="2"/>
  <c r="L78" i="2"/>
  <c r="L3" i="2"/>
  <c r="M59" i="2"/>
  <c r="N59" i="2" s="1"/>
  <c r="L59" i="2"/>
  <c r="M149" i="2"/>
  <c r="N149" i="2" s="1"/>
  <c r="L149" i="2"/>
  <c r="L148" i="2"/>
  <c r="M148" i="2"/>
  <c r="N148" i="2" s="1"/>
  <c r="L21" i="2"/>
  <c r="M66" i="2"/>
  <c r="N66" i="2" s="1"/>
  <c r="L66" i="2"/>
  <c r="L105" i="2"/>
  <c r="M105" i="2"/>
  <c r="N105" i="2" s="1"/>
  <c r="L124" i="2"/>
  <c r="L128" i="2"/>
  <c r="L7" i="2"/>
  <c r="L46" i="2"/>
  <c r="M70" i="2"/>
  <c r="N70" i="2" s="1"/>
  <c r="L70" i="2"/>
  <c r="L101" i="2"/>
  <c r="L155" i="2"/>
  <c r="M4" i="2"/>
  <c r="N4" i="2" s="1"/>
  <c r="L4" i="2"/>
  <c r="L22" i="2"/>
  <c r="M26" i="2"/>
  <c r="N26" i="2" s="1"/>
  <c r="L26" i="2"/>
  <c r="L79" i="2"/>
  <c r="L92" i="2"/>
  <c r="M152" i="2"/>
  <c r="N152" i="2" s="1"/>
  <c r="L152" i="2"/>
  <c r="M8" i="2"/>
  <c r="N8" i="2" s="1"/>
  <c r="L8" i="2"/>
  <c r="M14" i="2"/>
  <c r="N14" i="2" s="1"/>
  <c r="L14" i="2"/>
  <c r="M23" i="2"/>
  <c r="N23" i="2" s="1"/>
  <c r="L23" i="2"/>
  <c r="M51" i="2"/>
  <c r="N51" i="2" s="1"/>
  <c r="L51" i="2"/>
  <c r="L93" i="2"/>
  <c r="M93" i="2"/>
  <c r="N93" i="2" s="1"/>
  <c r="L102" i="2"/>
  <c r="M35" i="2"/>
  <c r="N35" i="2" s="1"/>
  <c r="L35" i="2"/>
  <c r="L60" i="2"/>
  <c r="L76" i="2"/>
  <c r="L80" i="2"/>
  <c r="L89" i="2"/>
  <c r="L112" i="2"/>
  <c r="L116" i="2"/>
  <c r="M130" i="2"/>
  <c r="N130" i="2" s="1"/>
  <c r="L130" i="2"/>
  <c r="M133" i="2"/>
  <c r="N133" i="2" s="1"/>
  <c r="L133" i="2"/>
  <c r="L146" i="2"/>
  <c r="L2" i="2"/>
  <c r="L45" i="2"/>
  <c r="M118" i="2"/>
  <c r="N118" i="2" s="1"/>
  <c r="L118" i="2"/>
  <c r="L114" i="2"/>
  <c r="L144" i="2"/>
  <c r="L33" i="2"/>
  <c r="M39" i="2"/>
  <c r="N39" i="2" s="1"/>
  <c r="L39" i="2"/>
  <c r="L16" i="2"/>
  <c r="L28" i="2"/>
  <c r="L40" i="2"/>
  <c r="L52" i="2"/>
  <c r="L71" i="2"/>
  <c r="L83" i="2"/>
  <c r="L107" i="2"/>
  <c r="L138" i="2"/>
  <c r="L109" i="2"/>
  <c r="L121" i="2"/>
  <c r="L156" i="2"/>
</calcChain>
</file>

<file path=xl/sharedStrings.xml><?xml version="1.0" encoding="utf-8"?>
<sst xmlns="http://schemas.openxmlformats.org/spreadsheetml/2006/main" count="235" uniqueCount="215">
  <si>
    <t>Parámetro</t>
  </si>
  <si>
    <t>Valor (por defecto)</t>
  </si>
  <si>
    <t>Días del período de ventas</t>
  </si>
  <si>
    <t>Días de inventario objetivo (DOS)</t>
  </si>
  <si>
    <t>Lead time (días)</t>
  </si>
  <si>
    <t>Múltiplo de pedido (empaque)</t>
  </si>
  <si>
    <t>Código country</t>
  </si>
  <si>
    <t>Codigo frumusa</t>
  </si>
  <si>
    <t>Descripción</t>
  </si>
  <si>
    <t>Días del período</t>
  </si>
  <si>
    <t>Pedido base (unid)</t>
  </si>
  <si>
    <t>699K</t>
  </si>
  <si>
    <t>11554X</t>
  </si>
  <si>
    <t>5125B</t>
  </si>
  <si>
    <t>APIO VERDE KILO</t>
  </si>
  <si>
    <t>ARANDANO BANDEJA 125 GR</t>
  </si>
  <si>
    <t>12554P</t>
  </si>
  <si>
    <t>12547G</t>
  </si>
  <si>
    <t>CAMOTE GRANEL</t>
  </si>
  <si>
    <t>CARAMBOLA BAND. 500 GRS</t>
  </si>
  <si>
    <t>CAS BANDEJA 500 GRS</t>
  </si>
  <si>
    <t>CAS GRANEL</t>
  </si>
  <si>
    <t>CEBOLLA MORADA GRANEL</t>
  </si>
  <si>
    <t>CEBOLLINO ROLLO 5 UND.</t>
  </si>
  <si>
    <t>CHAYOTE BLANCO SAZON</t>
  </si>
  <si>
    <t>11522N</t>
  </si>
  <si>
    <t>12570P</t>
  </si>
  <si>
    <t>15524A</t>
  </si>
  <si>
    <t>16624X</t>
  </si>
  <si>
    <t>COCO</t>
  </si>
  <si>
    <t>CULANTRO COYOTE 3 R.</t>
  </si>
  <si>
    <t>14583C</t>
  </si>
  <si>
    <t>11080F</t>
  </si>
  <si>
    <t>1580G</t>
  </si>
  <si>
    <t>ELOTE BLANCO 2 UND</t>
  </si>
  <si>
    <t>11080S</t>
  </si>
  <si>
    <t>ESPINACA POR ROLLO</t>
  </si>
  <si>
    <t>FRIJOL NACIDO 500 GRAMOS</t>
  </si>
  <si>
    <t>13556R</t>
  </si>
  <si>
    <t>HONGO CRIMINI</t>
  </si>
  <si>
    <t>LECHUGA ICEBERG</t>
  </si>
  <si>
    <t>LECHUGA LOLOROSA</t>
  </si>
  <si>
    <t>LECHUGA ROMANA</t>
  </si>
  <si>
    <t>LIMON MANDARINA UNIDAD</t>
  </si>
  <si>
    <t>14585P</t>
  </si>
  <si>
    <t>14575P</t>
  </si>
  <si>
    <t>MANGA KILOS</t>
  </si>
  <si>
    <t>13150B</t>
  </si>
  <si>
    <t>11080G</t>
  </si>
  <si>
    <t>NAMPI KILOS</t>
  </si>
  <si>
    <t>PALMITO PAQUETE 500 GRS</t>
  </si>
  <si>
    <t>PAPA GRANEL</t>
  </si>
  <si>
    <t>PAPA ROJA</t>
  </si>
  <si>
    <t>PEPINO GRANEL</t>
  </si>
  <si>
    <t>RABANO ROLLO</t>
  </si>
  <si>
    <t>REPOLLO MORADO</t>
  </si>
  <si>
    <t>13580H</t>
  </si>
  <si>
    <t>TAMARINDO PAQ. 500 GRS</t>
  </si>
  <si>
    <t>TAPA DULCE 600 GRS NEGRO</t>
  </si>
  <si>
    <t>TIQUISQUE KILOS</t>
  </si>
  <si>
    <t>VAINICA FINA</t>
  </si>
  <si>
    <t>ZANAHORIA GRANEL</t>
  </si>
  <si>
    <t>ZAPOTE KILO</t>
  </si>
  <si>
    <t>Guía rápida
1) Pegue su catálogo en la hoja *Pedidos*: Código, Descripción, y complete para cada SKU:
   - Ventas del período (unidades) y Días del período.
   - Stock actual e Inventario en tránsito.
   - (Opcional) DOS objetivo, Lead time y Múltiplo de pedido por SKU.
2) La hoja calcula automáticamente:
   - *Ventas diarias* = Ventas del período / Días del período (o el valor por defecto en Configuración).
   - *Cobertura actual (días)* = (Stock + Tránsito) / Ventas diarias.
   - *Pedido base* = max(0, Ventas diarias × (DOS objetivo + Lead time) − (Stock + Tránsito)).
   - *Pedido sugerido* aplica redondeo al múltiplo (empaque).
3) Ajustes globales en la hoja *Configuración*:
   - Días del período por defecto (si deja vacío ‘Días del período’ en Pedidos).
   - DOS objetivo, Lead time y Múltiplo por defecto (si deja vacías sus columnas por SKU).
4) Sugerencias:
   - Mantenga *Ventas del período* y *Días del período* consistentes (p. ej., últimas 4 semanas = 28 días).
   - Si hay estacionalidad, puede bajar o subir el DOS objetivo temporalmente.
   - Use *Comentarios* para notas de proveedor, sustitutos o excepciones.
5) Señalización:
   - Las filas con cobertura por debajo del objetivo se marcan en rojo suave.
— Hecha para servir como plantilla. Personalizable según sus reglas (MOQs, máximos, topes por presupuesto, etc.).</t>
  </si>
  <si>
    <t>684p</t>
  </si>
  <si>
    <t>12553K</t>
  </si>
  <si>
    <t>12582AJ</t>
  </si>
  <si>
    <t>13111CU</t>
  </si>
  <si>
    <t>HONGO PORTO BELLO</t>
  </si>
  <si>
    <t>13150GA</t>
  </si>
  <si>
    <t>145137K</t>
  </si>
  <si>
    <t>11080A</t>
  </si>
  <si>
    <t>3371F</t>
  </si>
  <si>
    <t>145168IN</t>
  </si>
  <si>
    <t>13545R</t>
  </si>
  <si>
    <t>145182IN</t>
  </si>
  <si>
    <t>125152N</t>
  </si>
  <si>
    <t>PEDIDO FINAL</t>
  </si>
  <si>
    <t>AGUACATE CRIOLLO NACIONAL KILO</t>
  </si>
  <si>
    <t xml:space="preserve">AGUACATE HASS MEX SUPER EXTRA CAJA </t>
  </si>
  <si>
    <t>AGUACATE HASS MINI PAQ 1 KG</t>
  </si>
  <si>
    <t xml:space="preserve">AJO 3 CABEZA CAJA </t>
  </si>
  <si>
    <t>AJO 500 GRS ( 20 PAQ ) CAJA</t>
  </si>
  <si>
    <t>AJO PELADO PAQUETE 500G</t>
  </si>
  <si>
    <t>AJO TRENZA CAJA 1 KILOS ( 10 MALLA)</t>
  </si>
  <si>
    <t>ALBAHACA ROLLO</t>
  </si>
  <si>
    <t>ALCACHOFA</t>
  </si>
  <si>
    <t>ALFALFA 150 GR</t>
  </si>
  <si>
    <t>ARANDANO BANDEJA 500 GR</t>
  </si>
  <si>
    <t>ARRACACHE PICADO</t>
  </si>
  <si>
    <t>AYOTE ESMERALDA BANDEJA</t>
  </si>
  <si>
    <t>AYOTE MANTEQUILLA</t>
  </si>
  <si>
    <t>AYOTE SAZON</t>
  </si>
  <si>
    <t>AYOTE TIERNO</t>
  </si>
  <si>
    <t>BERENJENA</t>
  </si>
  <si>
    <t>BROCOLI  KILO</t>
  </si>
  <si>
    <t>CAMOTE MANTEQUILLA</t>
  </si>
  <si>
    <t>CEBOLLA COSECHA COMPLETA PAQ 1</t>
  </si>
  <si>
    <t>CEBOLLA EN TRENZA  KILO</t>
  </si>
  <si>
    <t>CEBOLLA GRANEL</t>
  </si>
  <si>
    <t>CEBOLLA INDUSTRIAL</t>
  </si>
  <si>
    <t>CEBOLLA PREPACK  MALLA KILO</t>
  </si>
  <si>
    <t>CHAYOTE COCORO MALLA 800 GRS</t>
  </si>
  <si>
    <t>CHAYOTE TIERNO MALLA DE 3 UND</t>
  </si>
  <si>
    <t>CHAYOTE TIERNO NEGRO</t>
  </si>
  <si>
    <t>CHAYOTE TIERNO PAQ. 10 UDS</t>
  </si>
  <si>
    <t>CHILE  DULCE ROJO # 240</t>
  </si>
  <si>
    <t>CHILE AJI PERUANO KG</t>
  </si>
  <si>
    <t>CHILE EN MALLA 5 UNIDADES</t>
  </si>
  <si>
    <t>CHILE JALAPENO EN BANDEJA</t>
  </si>
  <si>
    <t>CHILE MUNDIAL AMARILLO</t>
  </si>
  <si>
    <t>CHILE PANAMEÑO</t>
  </si>
  <si>
    <t>CHILE QUETZAL O SELECTO</t>
  </si>
  <si>
    <t>CHILOTE BAND. 500 GRAMOS</t>
  </si>
  <si>
    <t>CIRUELA CAJA 10 KG</t>
  </si>
  <si>
    <t>COLIFLOR</t>
  </si>
  <si>
    <t>CULANTRO CASTILLA 3 R.</t>
  </si>
  <si>
    <t>CURCUMA KILO</t>
  </si>
  <si>
    <t>ELOTE TUZA UND</t>
  </si>
  <si>
    <t>ESPARRAGO CJ 5 KG  11 UND( 300 GR)</t>
  </si>
  <si>
    <t>FRESA BANDEJA 500 GR</t>
  </si>
  <si>
    <t>FRESA CANASTILLA</t>
  </si>
  <si>
    <t>FRIJOL TIERNO MALLA 500 GRAMOS</t>
  </si>
  <si>
    <t>GRANADILLA NACIONAL</t>
  </si>
  <si>
    <t>GUANABANA</t>
  </si>
  <si>
    <t>GUAYABA KILOS</t>
  </si>
  <si>
    <t>GUINEO VERDE</t>
  </si>
  <si>
    <t>HIERBA BUENA 30 GR</t>
  </si>
  <si>
    <t>HIERBA BUENA BOLSA 250GR</t>
  </si>
  <si>
    <t xml:space="preserve">HOJA SABILA </t>
  </si>
  <si>
    <t>HONGO BAND. 227 GRS</t>
  </si>
  <si>
    <t>HONGO REBANADO 227 GR</t>
  </si>
  <si>
    <t>JENJIBRE GRANEL</t>
  </si>
  <si>
    <t>KALE 100 GR</t>
  </si>
  <si>
    <t>KIWI 25-27 CAJA 10 KG</t>
  </si>
  <si>
    <t>LECHUGA AMERICANA TWO PACK</t>
  </si>
  <si>
    <t>LECHUGA AMERICANA UD</t>
  </si>
  <si>
    <t>LECHUGA FREZZE UD</t>
  </si>
  <si>
    <t>LIMON MESINA UD</t>
  </si>
  <si>
    <t>MAIZ DULCE BAND. 500 GRAMOS</t>
  </si>
  <si>
    <t>MANDARINA IMPORTADA</t>
  </si>
  <si>
    <t>MANZ. GALA  EMP 10 UNDS.</t>
  </si>
  <si>
    <t>Manzana  agua</t>
  </si>
  <si>
    <t>MANZANA  FUJI CAJA  #80</t>
  </si>
  <si>
    <t xml:space="preserve">MANZANA GALA CAJA  #80 </t>
  </si>
  <si>
    <t>MANZANA GOLDEN CAJA  #80</t>
  </si>
  <si>
    <t>MANZANA GRANNY SMITH #80</t>
  </si>
  <si>
    <t>MANZANA ROJA  CAJA #80/#88</t>
  </si>
  <si>
    <t>MARACUYA GRANEL</t>
  </si>
  <si>
    <t>MELOCOTON CAJA 10 KILO</t>
  </si>
  <si>
    <t>MELOCOTON COCTEL  1/4</t>
  </si>
  <si>
    <t>MELON CAREBEAN</t>
  </si>
  <si>
    <t>MORA BRAZO BAND 250 G</t>
  </si>
  <si>
    <t>MOSTAZA CHINA</t>
  </si>
  <si>
    <t>NARANJA NACIONAL</t>
  </si>
  <si>
    <t xml:space="preserve">NARANJAS IMPORTADA KILO CAJA </t>
  </si>
  <si>
    <t>NECTARINA CAJA 10 KG</t>
  </si>
  <si>
    <t>OREGANO ROLLO 30 GR</t>
  </si>
  <si>
    <t xml:space="preserve">PAPA SEMILLA </t>
  </si>
  <si>
    <t>PAPAYA PERFECTA</t>
  </si>
  <si>
    <t>PEJIBAYE COCINADO</t>
  </si>
  <si>
    <t>PERA D´ANJOU CAJA  # 90</t>
  </si>
  <si>
    <t>PERA FORELLE 70 12 KG PAQ</t>
  </si>
  <si>
    <t>PEREJIL ROLLO 30 GR</t>
  </si>
  <si>
    <t>PIPA PELADA</t>
  </si>
  <si>
    <t>PIPA VERDE</t>
  </si>
  <si>
    <t>PLATANO PRIMERA UND</t>
  </si>
  <si>
    <t>POMELO IMPORTADO</t>
  </si>
  <si>
    <t>RABANITO ROLLO</t>
  </si>
  <si>
    <t>REMOLACHA  CON HOJAS</t>
  </si>
  <si>
    <t>REPOLLO BLANCO</t>
  </si>
  <si>
    <t>ROMERO ROLLO</t>
  </si>
  <si>
    <t>SANDIA MEDIANA</t>
  </si>
  <si>
    <t>SCALLOPIN AMARILLO</t>
  </si>
  <si>
    <t>TACACO</t>
  </si>
  <si>
    <t>TOMATE BOLITA PROMOCION</t>
  </si>
  <si>
    <t>TOMATE PRIMERA KILO( 1 ER)</t>
  </si>
  <si>
    <t>TOMATE SEGUNDA GRANEL ( 2DA)</t>
  </si>
  <si>
    <t>TOMATE UVA VASO</t>
  </si>
  <si>
    <t>TOMILLO 30 GR</t>
  </si>
  <si>
    <t>UVA GLOBO BANDEJA 1/2 KILO</t>
  </si>
  <si>
    <t>UVA GLOBO CAJA 8.2 KILOS</t>
  </si>
  <si>
    <t>UVA MIXTA 500 GR</t>
  </si>
  <si>
    <t>UVA VERDE BANDEJA 500GR</t>
  </si>
  <si>
    <t xml:space="preserve">UVA VERDE CAJA 8.2 KILOS </t>
  </si>
  <si>
    <t>VAINICA PAQUETE 500 GR</t>
  </si>
  <si>
    <t>YUCA PARAFINADA</t>
  </si>
  <si>
    <t>ZANAHORIA BABY BANDEJA 500 GRS</t>
  </si>
  <si>
    <t>ZANAHORIA PAQUETE 1 KILO</t>
  </si>
  <si>
    <t>ZUCHINI</t>
  </si>
  <si>
    <t>ALBAHACA BOLSA GRANDE 250 GR</t>
  </si>
  <si>
    <t>Ventas diarias</t>
  </si>
  <si>
    <t>Ventas del período</t>
  </si>
  <si>
    <t>Múltiplo de pedido</t>
  </si>
  <si>
    <t>Cobertura actual</t>
  </si>
  <si>
    <t>Pedido sugerido</t>
  </si>
  <si>
    <t>Covertura meta</t>
  </si>
  <si>
    <t>Dias entre entregas</t>
  </si>
  <si>
    <t>145143P15</t>
  </si>
  <si>
    <t>NARANJA PAQ DE 12 UD</t>
  </si>
  <si>
    <t>LECHUGA SALANOVAS PAQUET</t>
  </si>
  <si>
    <t>11555B</t>
  </si>
  <si>
    <t>125180P</t>
  </si>
  <si>
    <t>LIMON MANDARINO MALLA 10 UND</t>
  </si>
  <si>
    <t>LIMON MESINA PAQ. 10</t>
  </si>
  <si>
    <t>ARVEJAS BANDEJA 500 GRS</t>
  </si>
  <si>
    <t>MENTA ROLLO 30 GR</t>
  </si>
  <si>
    <t>MINIVEGETALES MIX. BAND. 500</t>
  </si>
  <si>
    <t>TOMATE SALADET EMPACADO 1 KG</t>
  </si>
  <si>
    <t>Stock</t>
  </si>
  <si>
    <t>2421XL</t>
  </si>
  <si>
    <t>Costo de pedido</t>
  </si>
  <si>
    <t>Transito</t>
  </si>
  <si>
    <t>codigo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</si>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</sst>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[$₡-140A]* #,##0.00_-;\-[$₡-140A]* #,##0.00_-;_-[$₡-140A]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4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3" fontId="0" fillId="0" borderId="0" xfId="1" applyFont="1" applyAlignment="1">
      <alignment horizontal="left"/>
    </xf>
    <xf numFmtId="0" fontId="3" fillId="0" borderId="1" xfId="0" applyFont="1" applyBorder="1" applyAlignment="1">
      <alignment horizontal="left" vertical="top"/>
    </xf>
    <xf numFmtId="0" fontId="5" fillId="2" borderId="1" xfId="0" applyFont="1" applyFill="1" applyBorder="1" applyAlignment="1">
      <alignment horizontal="left" vertical="top"/>
    </xf>
    <xf numFmtId="43" fontId="3" fillId="0" borderId="1" xfId="1" applyFont="1" applyBorder="1" applyAlignment="1">
      <alignment horizontal="left" vertical="top"/>
    </xf>
    <xf numFmtId="0" fontId="0" fillId="0" borderId="1" xfId="0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3" fontId="3" fillId="0" borderId="2" xfId="0" applyNumberFormat="1" applyFont="1" applyBorder="1" applyAlignment="1">
      <alignment horizontal="left" vertical="top"/>
    </xf>
    <xf numFmtId="4" fontId="3" fillId="0" borderId="2" xfId="0" applyNumberFormat="1" applyFont="1" applyBorder="1" applyAlignment="1">
      <alignment horizontal="left" vertical="top"/>
    </xf>
    <xf numFmtId="164" fontId="3" fillId="0" borderId="1" xfId="0" applyNumberFormat="1" applyFont="1" applyBorder="1" applyAlignment="1">
      <alignment horizontal="left" vertical="top"/>
    </xf>
    <xf numFmtId="164" fontId="3" fillId="0" borderId="2" xfId="0" applyNumberFormat="1" applyFont="1" applyBorder="1" applyAlignment="1">
      <alignment horizontal="left" vertical="top"/>
    </xf>
    <xf numFmtId="164" fontId="0" fillId="0" borderId="0" xfId="0" applyNumberFormat="1"/>
    <xf numFmtId="43" fontId="3" fillId="0" borderId="2" xfId="0" applyNumberFormat="1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43" fontId="3" fillId="4" borderId="1" xfId="1" applyFont="1" applyFill="1" applyBorder="1" applyAlignment="1">
      <alignment horizontal="left" vertical="top"/>
    </xf>
  </cellXfs>
  <cellStyles count="2">
    <cellStyle name="Comma" xfId="1" builtinId="3"/>
    <cellStyle name="Normal" xfId="0" builtinId="0"/>
  </cellStyles>
  <dxfs count="65"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[$₡-140A]* #,##0.00_-;\-[$₡-140A]* #,##0.00_-;_-[$₡-140A]* &quot;-&quot;??_-;_-@_-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164" formatCode="_-[$₡-140A]* #,##0.00_-;\-[$₡-140A]* #,##0.00_-;_-[$₡-140A]* &quot;-&quot;??_-;_-@_-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4" formatCode="#,##0.00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4" formatCode="#,##0.00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" formatCode="#,##0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numFmt numFmtId="35" formatCode="_-* #,##0.00_-;\-* #,##0.00_-;_-* &quot;-&quot;??_-;_-@_-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theme="1" tint="4.9989318521683403E-2"/>
        <name val="Calibri"/>
        <family val="2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D3D3D3"/>
        </top>
      </border>
    </dxf>
    <dxf>
      <font>
        <strike val="0"/>
        <outline val="0"/>
        <shadow val="0"/>
        <u val="none"/>
        <vertAlign val="baseline"/>
        <sz val="14"/>
        <name val="Calibri"/>
        <family val="2"/>
      </font>
      <alignment horizontal="left" vertical="top" textRotation="0" wrapText="0" indent="0" justifyLastLine="0" shrinkToFit="0" readingOrder="0"/>
    </dxf>
    <dxf>
      <border outline="0"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indexed="64"/>
          <bgColor rgb="FFD9E1F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8D7DA"/>
          <bgColor rgb="FFF8D7DA"/>
        </patternFill>
      </fill>
    </dxf>
    <dxf>
      <fill>
        <patternFill patternType="solid">
          <fgColor rgb="FFF8D7DA"/>
          <bgColor rgb="FFF8D7DA"/>
        </patternFill>
      </fill>
    </dxf>
    <dxf>
      <fill>
        <patternFill patternType="solid">
          <fgColor rgb="FFF8D7DA"/>
          <bgColor rgb="FFF8D7DA"/>
        </patternFill>
      </fill>
    </dxf>
    <dxf>
      <fill>
        <patternFill patternType="solid">
          <fgColor rgb="FFF8D7DA"/>
          <bgColor rgb="FFF8D7DA"/>
        </patternFill>
      </fill>
    </dxf>
    <dxf>
      <fill>
        <patternFill patternType="solid">
          <fgColor rgb="FFF8D7DA"/>
          <bgColor rgb="FFF8D7DA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BAA13-DE2F-4731-AA37-AC478EC91BA5}" name="Tabla2" displayName="Tabla2" ref="A1:P157" totalsRowCount="1" headerRowDxfId="34" dataDxfId="32" totalsRowDxfId="30" headerRowBorderDxfId="33" tableBorderDxfId="31">
  <autoFilter ref="A1:P156" xr:uid="{6E5BAA13-DE2F-4731-AA37-AC478EC91BA5}">
    <filterColumn colId="14">
      <customFilters>
        <customFilter operator="notEqual" val=" "/>
      </customFilters>
    </filterColumn>
  </autoFilter>
  <sortState xmlns:xlrd2="http://schemas.microsoft.com/office/spreadsheetml/2017/richdata2" ref="A2:P156">
    <sortCondition ref="C1:C156"/>
  </sortState>
  <tableColumns count="16">
    <tableColumn id="1" xr3:uid="{B26E4F7D-4EED-4A87-876A-B321DA47ABD8}" name="Código country" dataDxfId="29" totalsRowDxfId="28"/>
    <tableColumn id="15" xr3:uid="{DF6EA633-CE53-415B-BFC8-A59282B07860}" name="Codigo frumusa" totalsRowDxfId="27"/>
    <tableColumn id="2" xr3:uid="{D6BC3170-BA91-409C-9332-6EB0AE2E40F3}" name="Descripción" totalsRowDxfId="26"/>
    <tableColumn id="3" xr3:uid="{EF2184AD-AADE-40A9-9FAA-73FB94BBE1F0}" name="Ventas del período" dataDxfId="25" totalsRowDxfId="24">
      <calculatedColumnFormula>VLOOKUP(Tabla2[[#This Row],[Código country]],#REF!,4,0)</calculatedColumnFormula>
    </tableColumn>
    <tableColumn id="4" xr3:uid="{D97E0C94-C1A7-437A-9E8B-365887299061}" name="Días del período" dataDxfId="23" totalsRowDxfId="22"/>
    <tableColumn id="5" xr3:uid="{443D3F26-2EFC-4E80-BB2D-0C0EE58D1DE8}" name="Ventas diarias" dataDxfId="21" totalsRowDxfId="20">
      <calculatedColumnFormula>IFERROR(D2/IF(E2="",Configuración!$B$2,E2),0)</calculatedColumnFormula>
    </tableColumn>
    <tableColumn id="6" xr3:uid="{8B467E7E-3B7E-4CC2-A9BF-5C4E6422CA5E}" name="Stock" dataDxfId="19" totalsRowDxfId="18">
      <calculatedColumnFormula>VLOOKUP(Tabla2[[#This Row],[Código country]],#REF!,8,0)</calculatedColumnFormula>
    </tableColumn>
    <tableColumn id="7" xr3:uid="{6A8CF0E0-4249-4ABB-B6F8-EDBFEC5876ED}" name="Transito" dataDxfId="17" totalsRowDxfId="16"/>
    <tableColumn id="8" xr3:uid="{24DAEF2E-3DFA-4A7E-A801-6AAADE7EFEE6}" name="Covertura meta" dataDxfId="15" totalsRowDxfId="14"/>
    <tableColumn id="9" xr3:uid="{C2F5F848-49D9-45B9-8A14-832DEC825972}" name="Dias entre entregas" dataDxfId="13" totalsRowDxfId="12"/>
    <tableColumn id="10" xr3:uid="{FFE4BB31-356F-478A-945D-AC31B8C82107}" name="Múltiplo de pedido" dataDxfId="11" totalsRowDxfId="10">
      <calculatedColumnFormula>IFERROR(VLOOKUP(Tabla2[[#This Row],[Código country]],#REF!,7,0),0)</calculatedColumnFormula>
    </tableColumn>
    <tableColumn id="11" xr3:uid="{0E83F1D2-51FD-4766-9DF1-CCE91205E00B}" name="Cobertura actual" dataDxfId="9" totalsRowDxfId="8">
      <calculatedColumnFormula>IFERROR((G2+H2+O2)/F2,0)</calculatedColumnFormula>
    </tableColumn>
    <tableColumn id="12" xr3:uid="{664EA3AF-949E-4E88-8E29-CE4473098F4B}" name="Pedido base (unid)" dataDxfId="7" totalsRowDxfId="6">
      <calculatedColumnFormula>MAX(0, F2*(IF(I2="",Configuración!$B$3,I2) + IF(J2="",Configuración!$B$4,J2)) - (G2+H2))</calculatedColumnFormula>
    </tableColumn>
    <tableColumn id="13" xr3:uid="{D9CD7F7B-AA29-47B2-80A2-027093886209}" name="Pedido sugerido" dataDxfId="5" totalsRowDxfId="4">
      <calculatedColumnFormula>IF(IF(K2="",Configuración!$B$5,K2)&gt;0, CEILING(M2, IF(K2="",Configuración!$B$5,K2)), ROUNDUP(M2,0))</calculatedColumnFormula>
    </tableColumn>
    <tableColumn id="16" xr3:uid="{25ECCEB9-333C-48AD-B646-3CC7699ECAB8}" name="PEDIDO FINAL" totalsRowDxfId="3"/>
    <tableColumn id="14" xr3:uid="{1237B01E-F8DC-4C4E-8E30-700EF08A8B9A}" name="Costo de pedido" totalsRowFunction="sum" dataDxfId="2" totalsRowDxfId="1">
      <calculatedColumnFormula>VLOOKUP(Tabla2[[#This Row],[Código country]],#REF!,7,0)*Tabla2[[#This Row],[PEDIDO FINAL]]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94421A-1CF9-4408-B884-0E97FAFC78A6}" name="Tabla3" displayName="Tabla3" ref="A1:B72" totalsRowShown="0">
  <autoFilter ref="A1:B72" xr:uid="{FC94421A-1CF9-4408-B884-0E97FAFC78A6}"/>
  <tableColumns count="2">
    <tableColumn id="1" xr3:uid="{7DC040E5-B129-4485-8ECA-B0F992F52739}" name="codigo" dataDxfId="0"/>
    <tableColumn id="2" xr3:uid="{D72F80D8-9995-435E-BF3A-FAD58E695072}" name="cantida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5"/>
  <sheetViews>
    <sheetView workbookViewId="0">
      <selection activeCell="B2" sqref="B2"/>
    </sheetView>
  </sheetViews>
  <sheetFormatPr defaultColWidth="9.109375" defaultRowHeight="14.4" x14ac:dyDescent="0.3"/>
  <cols>
    <col min="1" max="1" width="40" customWidth="1"/>
    <col min="2" max="2" width="22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t="s">
        <v>2</v>
      </c>
      <c r="B2">
        <v>30</v>
      </c>
    </row>
    <row r="3" spans="1:2" x14ac:dyDescent="0.3">
      <c r="A3" t="s">
        <v>3</v>
      </c>
      <c r="B3">
        <v>14</v>
      </c>
    </row>
    <row r="4" spans="1:2" x14ac:dyDescent="0.3">
      <c r="A4" t="s">
        <v>4</v>
      </c>
      <c r="B4">
        <v>7</v>
      </c>
    </row>
    <row r="5" spans="1:2" x14ac:dyDescent="0.3">
      <c r="A5" t="s">
        <v>5</v>
      </c>
      <c r="B5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157"/>
  <sheetViews>
    <sheetView zoomScale="85" zoomScaleNormal="85" workbookViewId="0">
      <selection sqref="A1:P1048576"/>
    </sheetView>
  </sheetViews>
  <sheetFormatPr defaultColWidth="13.5546875" defaultRowHeight="14.4" x14ac:dyDescent="0.3"/>
  <cols>
    <col min="1" max="1" width="20.5546875" style="3" bestFit="1" customWidth="1"/>
    <col min="2" max="2" width="21.33203125" style="3" bestFit="1" customWidth="1"/>
    <col min="3" max="3" width="47.77734375" style="3" bestFit="1" customWidth="1"/>
    <col min="4" max="4" width="25.109375" style="4" bestFit="1" customWidth="1"/>
    <col min="5" max="5" width="22.109375" style="3" bestFit="1" customWidth="1"/>
    <col min="6" max="6" width="19.44140625" style="4" bestFit="1" customWidth="1"/>
    <col min="7" max="7" width="10.33203125" style="3" bestFit="1" customWidth="1"/>
    <col min="8" max="8" width="12.77734375" style="3" bestFit="1" customWidth="1"/>
    <col min="9" max="9" width="21.109375" style="3" bestFit="1" customWidth="1"/>
    <col min="10" max="10" width="25.44140625" style="3" bestFit="1" customWidth="1"/>
    <col min="11" max="11" width="25.33203125" style="3" bestFit="1" customWidth="1"/>
    <col min="12" max="12" width="22.44140625" style="4" bestFit="1" customWidth="1"/>
    <col min="13" max="13" width="24.6640625" style="4" bestFit="1" customWidth="1"/>
    <col min="14" max="14" width="21.77734375" style="3" bestFit="1" customWidth="1"/>
    <col min="15" max="15" width="19.33203125" style="3" bestFit="1" customWidth="1"/>
    <col min="16" max="16" width="22.109375" style="16" bestFit="1" customWidth="1"/>
  </cols>
  <sheetData>
    <row r="1" spans="1:16" ht="18" x14ac:dyDescent="0.3">
      <c r="A1" s="9" t="s">
        <v>6</v>
      </c>
      <c r="B1" s="9" t="s">
        <v>7</v>
      </c>
      <c r="C1" s="9" t="s">
        <v>8</v>
      </c>
      <c r="D1" s="9" t="s">
        <v>192</v>
      </c>
      <c r="E1" s="9" t="s">
        <v>9</v>
      </c>
      <c r="F1" s="9" t="s">
        <v>191</v>
      </c>
      <c r="G1" s="9" t="s">
        <v>209</v>
      </c>
      <c r="H1" s="9" t="s">
        <v>212</v>
      </c>
      <c r="I1" s="9" t="s">
        <v>196</v>
      </c>
      <c r="J1" s="9" t="s">
        <v>197</v>
      </c>
      <c r="K1" s="9" t="s">
        <v>193</v>
      </c>
      <c r="L1" s="9" t="s">
        <v>194</v>
      </c>
      <c r="M1" s="9" t="s">
        <v>10</v>
      </c>
      <c r="N1" s="9" t="s">
        <v>195</v>
      </c>
      <c r="O1" s="9" t="s">
        <v>77</v>
      </c>
      <c r="P1" s="9" t="s">
        <v>211</v>
      </c>
    </row>
    <row r="2" spans="1:16" ht="18" hidden="1" x14ac:dyDescent="0.3">
      <c r="A2" s="5" t="s">
        <v>11</v>
      </c>
      <c r="B2" s="5">
        <v>651</v>
      </c>
      <c r="C2" s="5" t="s">
        <v>78</v>
      </c>
      <c r="D2" s="7" t="e">
        <f>VLOOKUP(Tabla2[[#This Row],[Código country]],#REF!,4,0)</f>
        <v>#REF!</v>
      </c>
      <c r="E2" s="5">
        <v>191</v>
      </c>
      <c r="F2" s="7">
        <f>IFERROR(D2/IF(E2="",Configuración!$B$2,E2),0)</f>
        <v>0</v>
      </c>
      <c r="G2" s="5" t="e">
        <f>VLOOKUP(Tabla2[[#This Row],[Código country]],#REF!,8,0)</f>
        <v>#REF!</v>
      </c>
      <c r="H2" s="5"/>
      <c r="I2" s="5">
        <v>3</v>
      </c>
      <c r="J2" s="5">
        <v>3.5</v>
      </c>
      <c r="K2" s="5">
        <v>1</v>
      </c>
      <c r="L2" s="7">
        <f t="shared" ref="L2:L33" si="0">IFERROR((G2+H2+O2)/F2,0)</f>
        <v>0</v>
      </c>
      <c r="M2" s="7" t="e">
        <f>MAX(0, F2*(IF(I2="",Configuración!$B$3,I2) + IF(J2="",Configuración!$B$4,J2)) - (G2+H2))</f>
        <v>#REF!</v>
      </c>
      <c r="N2" s="5" t="e">
        <f>IF(IF(K2="",Configuración!$B$5,K2)&gt;0, CEILING(M2, IF(K2="",Configuración!$B$5,K2)), ROUNDUP(M2,0))</f>
        <v>#REF!</v>
      </c>
      <c r="O2" s="5"/>
      <c r="P2" s="14" t="e">
        <f>VLOOKUP(Tabla2[[#This Row],[Código country]],#REF!,7,0)*Tabla2[[#This Row],[PEDIDO FINAL]]</f>
        <v>#REF!</v>
      </c>
    </row>
    <row r="3" spans="1:16" ht="18" x14ac:dyDescent="0.3">
      <c r="A3" s="5">
        <v>683</v>
      </c>
      <c r="B3" s="5">
        <v>704</v>
      </c>
      <c r="C3" s="5" t="s">
        <v>79</v>
      </c>
      <c r="D3" s="7" t="e">
        <f>VLOOKUP(Tabla2[[#This Row],[Código country]],#REF!,4,0)</f>
        <v>#REF!</v>
      </c>
      <c r="E3" s="5">
        <v>191</v>
      </c>
      <c r="F3" s="7">
        <f>IFERROR(D3/IF(E3="",Configuración!$B$2,E3),0)</f>
        <v>0</v>
      </c>
      <c r="G3" s="5" t="e">
        <f>VLOOKUP(Tabla2[[#This Row],[Código country]],#REF!,8,0)</f>
        <v>#REF!</v>
      </c>
      <c r="H3" s="5">
        <v>6</v>
      </c>
      <c r="I3" s="5">
        <v>3</v>
      </c>
      <c r="J3" s="5">
        <v>3.5</v>
      </c>
      <c r="K3" s="5">
        <v>40</v>
      </c>
      <c r="L3" s="7">
        <f t="shared" si="0"/>
        <v>0</v>
      </c>
      <c r="M3" s="7" t="e">
        <f>MAX(0, F3*(IF(I3="",Configuración!$B$3,I3) + IF(J3="",Configuración!$B$4,J3)) - (G3+H3))</f>
        <v>#REF!</v>
      </c>
      <c r="N3" s="5" t="e">
        <f>IF(IF(K3="",Configuración!$B$5,K3)&gt;0, CEILING(M3, IF(K3="",Configuración!$B$5,K3)), ROUNDUP(M3,0))</f>
        <v>#REF!</v>
      </c>
      <c r="O3" s="5">
        <v>4</v>
      </c>
      <c r="P3" s="14" t="e">
        <f>VLOOKUP(Tabla2[[#This Row],[Código country]],#REF!,7,0)*Tabla2[[#This Row],[PEDIDO FINAL]]</f>
        <v>#REF!</v>
      </c>
    </row>
    <row r="4" spans="1:16" ht="18" x14ac:dyDescent="0.3">
      <c r="A4" s="5" t="s">
        <v>64</v>
      </c>
      <c r="B4" s="5">
        <v>670</v>
      </c>
      <c r="C4" s="5" t="s">
        <v>80</v>
      </c>
      <c r="D4" s="7" t="e">
        <f>VLOOKUP(Tabla2[[#This Row],[Código country]],#REF!,4,0)</f>
        <v>#REF!</v>
      </c>
      <c r="E4" s="5">
        <v>191</v>
      </c>
      <c r="F4" s="7">
        <f>IFERROR(D4/IF(E4="",Configuración!$B$2,E4),0)</f>
        <v>0</v>
      </c>
      <c r="G4" s="5" t="e">
        <f>VLOOKUP(Tabla2[[#This Row],[Código country]],#REF!,8,0)</f>
        <v>#REF!</v>
      </c>
      <c r="H4" s="5">
        <v>80</v>
      </c>
      <c r="I4" s="5">
        <v>3</v>
      </c>
      <c r="J4" s="5">
        <v>3.5</v>
      </c>
      <c r="K4" s="5">
        <v>10</v>
      </c>
      <c r="L4" s="7">
        <f t="shared" si="0"/>
        <v>0</v>
      </c>
      <c r="M4" s="7" t="e">
        <f>MAX(0, F4*(IF(I4="",Configuración!$B$3,I4) + IF(J4="",Configuración!$B$4,J4)) - (G4+H4))</f>
        <v>#REF!</v>
      </c>
      <c r="N4" s="5" t="e">
        <f>IF(IF(K4="",Configuración!$B$5,K4)&gt;0, CEILING(M4, IF(K4="",Configuración!$B$5,K4)), ROUNDUP(M4,0))</f>
        <v>#REF!</v>
      </c>
      <c r="O4" s="5">
        <v>40</v>
      </c>
      <c r="P4" s="14" t="e">
        <f>VLOOKUP(Tabla2[[#This Row],[Código country]],#REF!,7,0)*Tabla2[[#This Row],[PEDIDO FINAL]]</f>
        <v>#REF!</v>
      </c>
    </row>
    <row r="5" spans="1:16" ht="18" hidden="1" x14ac:dyDescent="0.3">
      <c r="A5" s="5">
        <v>775</v>
      </c>
      <c r="B5" s="5">
        <v>775</v>
      </c>
      <c r="C5" s="5" t="s">
        <v>81</v>
      </c>
      <c r="D5" s="7" t="e">
        <f>VLOOKUP(Tabla2[[#This Row],[Código country]],#REF!,4,0)</f>
        <v>#REF!</v>
      </c>
      <c r="E5" s="5">
        <v>191</v>
      </c>
      <c r="F5" s="7">
        <f>IFERROR(D5/IF(E5="",Configuración!$B$2,E5),0)</f>
        <v>0</v>
      </c>
      <c r="G5" s="5" t="e">
        <f>VLOOKUP(Tabla2[[#This Row],[Código country]],#REF!,8,0)</f>
        <v>#REF!</v>
      </c>
      <c r="H5" s="5"/>
      <c r="I5" s="5">
        <v>5</v>
      </c>
      <c r="J5" s="5">
        <v>3.5</v>
      </c>
      <c r="K5" s="5">
        <v>85</v>
      </c>
      <c r="L5" s="7">
        <f t="shared" si="0"/>
        <v>0</v>
      </c>
      <c r="M5" s="7" t="e">
        <f>MAX(0, F5*(IF(I5="",Configuración!$B$3,I5) + IF(J5="",Configuración!$B$4,J5)) - (G5+H5))</f>
        <v>#REF!</v>
      </c>
      <c r="N5" s="5" t="e">
        <f>IF(IF(K5="",Configuración!$B$5,K5)&gt;0, CEILING(M5, IF(K5="",Configuración!$B$5,K5)), ROUNDUP(M5,0))</f>
        <v>#REF!</v>
      </c>
      <c r="O5" s="5"/>
      <c r="P5" s="14" t="e">
        <f>VLOOKUP(Tabla2[[#This Row],[Código country]],#REF!,7,0)*Tabla2[[#This Row],[PEDIDO FINAL]]</f>
        <v>#REF!</v>
      </c>
    </row>
    <row r="6" spans="1:16" ht="18" x14ac:dyDescent="0.3">
      <c r="A6" s="5">
        <v>773</v>
      </c>
      <c r="B6" s="5">
        <v>773</v>
      </c>
      <c r="C6" s="5" t="s">
        <v>82</v>
      </c>
      <c r="D6" s="7" t="e">
        <f>VLOOKUP(Tabla2[[#This Row],[Código country]],#REF!,4,0)</f>
        <v>#REF!</v>
      </c>
      <c r="E6" s="5">
        <v>191</v>
      </c>
      <c r="F6" s="7">
        <f>IFERROR(D6/IF(E6="",Configuración!$B$2,E6),0)</f>
        <v>0</v>
      </c>
      <c r="G6" s="5" t="e">
        <f>VLOOKUP(Tabla2[[#This Row],[Código country]],#REF!,8,0)</f>
        <v>#REF!</v>
      </c>
      <c r="H6" s="5"/>
      <c r="I6" s="5">
        <v>5</v>
      </c>
      <c r="J6" s="5">
        <v>3.5</v>
      </c>
      <c r="K6" s="5">
        <v>20</v>
      </c>
      <c r="L6" s="7">
        <f t="shared" si="0"/>
        <v>0</v>
      </c>
      <c r="M6" s="7" t="e">
        <f>MAX(0, F6*(IF(I6="",Configuración!$B$3,I6) + IF(J6="",Configuración!$B$4,J6)) - (G6+H6))</f>
        <v>#REF!</v>
      </c>
      <c r="N6" s="5" t="e">
        <f>IF(IF(K6="",Configuración!$B$5,K6)&gt;0, CEILING(M6, IF(K6="",Configuración!$B$5,K6)), ROUNDUP(M6,0))</f>
        <v>#REF!</v>
      </c>
      <c r="O6" s="5">
        <v>1</v>
      </c>
      <c r="P6" s="14" t="e">
        <f>VLOOKUP(Tabla2[[#This Row],[Código country]],#REF!,7,0)*Tabla2[[#This Row],[PEDIDO FINAL]]</f>
        <v>#REF!</v>
      </c>
    </row>
    <row r="7" spans="1:16" ht="18" x14ac:dyDescent="0.3">
      <c r="A7" s="5">
        <v>700</v>
      </c>
      <c r="B7" s="5">
        <v>781</v>
      </c>
      <c r="C7" s="5" t="s">
        <v>83</v>
      </c>
      <c r="D7" s="7" t="e">
        <f>VLOOKUP(Tabla2[[#This Row],[Código country]],#REF!,4,0)</f>
        <v>#REF!</v>
      </c>
      <c r="E7" s="5">
        <v>191</v>
      </c>
      <c r="F7" s="7">
        <f>IFERROR(D7/IF(E7="",Configuración!$B$2,E7),0)</f>
        <v>0</v>
      </c>
      <c r="G7" s="5" t="e">
        <f>VLOOKUP(Tabla2[[#This Row],[Código country]],#REF!,8,0)</f>
        <v>#REF!</v>
      </c>
      <c r="H7" s="5"/>
      <c r="I7" s="5">
        <v>5</v>
      </c>
      <c r="J7" s="5">
        <v>3.5</v>
      </c>
      <c r="K7" s="5">
        <v>10</v>
      </c>
      <c r="L7" s="7">
        <f t="shared" si="0"/>
        <v>0</v>
      </c>
      <c r="M7" s="7" t="e">
        <f>MAX(0, F7*(IF(I7="",Configuración!$B$3,I7) + IF(J7="",Configuración!$B$4,J7)) - (G7+H7))</f>
        <v>#REF!</v>
      </c>
      <c r="N7" s="5" t="e">
        <f>IF(IF(K7="",Configuración!$B$5,K7)&gt;0, CEILING(M7, IF(K7="",Configuración!$B$5,K7)), ROUNDUP(M7,0))</f>
        <v>#REF!</v>
      </c>
      <c r="O7" s="5">
        <v>1</v>
      </c>
      <c r="P7" s="14" t="e">
        <f>VLOOKUP(Tabla2[[#This Row],[Código country]],#REF!,7,0)*Tabla2[[#This Row],[PEDIDO FINAL]]</f>
        <v>#REF!</v>
      </c>
    </row>
    <row r="8" spans="1:16" ht="18" x14ac:dyDescent="0.3">
      <c r="A8" s="5">
        <v>779</v>
      </c>
      <c r="B8" s="5">
        <v>779</v>
      </c>
      <c r="C8" s="5" t="s">
        <v>84</v>
      </c>
      <c r="D8" s="7" t="e">
        <f>VLOOKUP(Tabla2[[#This Row],[Código country]],#REF!,4,0)</f>
        <v>#REF!</v>
      </c>
      <c r="E8" s="5">
        <v>191</v>
      </c>
      <c r="F8" s="7">
        <f>IFERROR(D8/IF(E8="",Configuración!$B$2,E8),0)</f>
        <v>0</v>
      </c>
      <c r="G8" s="5" t="e">
        <f>VLOOKUP(Tabla2[[#This Row],[Código country]],#REF!,8,0)</f>
        <v>#REF!</v>
      </c>
      <c r="H8" s="5"/>
      <c r="I8" s="5">
        <v>5</v>
      </c>
      <c r="J8" s="5">
        <v>3.5</v>
      </c>
      <c r="K8" s="5">
        <v>10</v>
      </c>
      <c r="L8" s="7">
        <f t="shared" si="0"/>
        <v>0</v>
      </c>
      <c r="M8" s="7" t="e">
        <f>MAX(0, F8*(IF(I8="",Configuración!$B$3,I8) + IF(J8="",Configuración!$B$4,J8)) - (G8+H8))</f>
        <v>#REF!</v>
      </c>
      <c r="N8" s="5" t="e">
        <f>IF(IF(K8="",Configuración!$B$5,K8)&gt;0, CEILING(M8, IF(K8="",Configuración!$B$5,K8)), ROUNDUP(M8,0))</f>
        <v>#REF!</v>
      </c>
      <c r="O8" s="5">
        <v>1</v>
      </c>
      <c r="P8" s="14" t="e">
        <f>VLOOKUP(Tabla2[[#This Row],[Código country]],#REF!,7,0)*Tabla2[[#This Row],[PEDIDO FINAL]]</f>
        <v>#REF!</v>
      </c>
    </row>
    <row r="9" spans="1:16" ht="18" x14ac:dyDescent="0.3">
      <c r="A9" s="5" t="s">
        <v>12</v>
      </c>
      <c r="B9" s="5" t="s">
        <v>12</v>
      </c>
      <c r="C9" s="5" t="s">
        <v>190</v>
      </c>
      <c r="D9" s="7" t="e">
        <f>VLOOKUP(Tabla2[[#This Row],[Código country]],#REF!,4,0)</f>
        <v>#REF!</v>
      </c>
      <c r="E9" s="5">
        <v>191</v>
      </c>
      <c r="F9" s="7">
        <f>IFERROR(D9/IF(E9="",Configuración!$B$2,E9),0)</f>
        <v>0</v>
      </c>
      <c r="G9" s="5" t="e">
        <f>VLOOKUP(Tabla2[[#This Row],[Código country]],#REF!,8,0)</f>
        <v>#REF!</v>
      </c>
      <c r="H9" s="5">
        <v>12</v>
      </c>
      <c r="I9" s="5">
        <v>3</v>
      </c>
      <c r="J9" s="5">
        <v>3.5</v>
      </c>
      <c r="K9" s="5">
        <v>4</v>
      </c>
      <c r="L9" s="7">
        <f t="shared" si="0"/>
        <v>0</v>
      </c>
      <c r="M9" s="7" t="e">
        <f>MAX(0, F9*(IF(I9="",Configuración!$B$3,I9) + IF(J9="",Configuración!$B$4,J9)) - (G9+H9))</f>
        <v>#REF!</v>
      </c>
      <c r="N9" s="5" t="e">
        <f>IF(IF(K9="",Configuración!$B$5,K9)&gt;0, CEILING(M9, IF(K9="",Configuración!$B$5,K9)), ROUNDUP(M9,0))</f>
        <v>#REF!</v>
      </c>
      <c r="O9" s="5">
        <v>6</v>
      </c>
      <c r="P9" s="14" t="e">
        <f>VLOOKUP(Tabla2[[#This Row],[Código country]],#REF!,7,0)*Tabla2[[#This Row],[PEDIDO FINAL]]</f>
        <v>#REF!</v>
      </c>
    </row>
    <row r="10" spans="1:16" ht="18" x14ac:dyDescent="0.3">
      <c r="A10" s="5">
        <v>11554</v>
      </c>
      <c r="B10" s="5">
        <v>11554</v>
      </c>
      <c r="C10" s="5" t="s">
        <v>85</v>
      </c>
      <c r="D10" s="7" t="e">
        <f>VLOOKUP(Tabla2[[#This Row],[Código country]],#REF!,4,0)</f>
        <v>#REF!</v>
      </c>
      <c r="E10" s="5">
        <v>191</v>
      </c>
      <c r="F10" s="7">
        <f>IFERROR(D10/IF(E10="",Configuración!$B$2,E10),0)</f>
        <v>0</v>
      </c>
      <c r="G10" s="5" t="e">
        <f>VLOOKUP(Tabla2[[#This Row],[Código country]],#REF!,8,0)</f>
        <v>#REF!</v>
      </c>
      <c r="H10" s="5"/>
      <c r="I10" s="5">
        <v>3</v>
      </c>
      <c r="J10" s="5">
        <v>3.5</v>
      </c>
      <c r="K10" s="5">
        <v>1</v>
      </c>
      <c r="L10" s="7">
        <f t="shared" si="0"/>
        <v>0</v>
      </c>
      <c r="M10" s="7" t="e">
        <f>MAX(0, F10*(IF(I10="",Configuración!$B$3,I10) + IF(J10="",Configuración!$B$4,J10)) - (G10+H10))</f>
        <v>#REF!</v>
      </c>
      <c r="N10" s="5" t="e">
        <f>IF(IF(K10="",Configuración!$B$5,K10)&gt;0, CEILING(M10, IF(K10="",Configuración!$B$5,K10)), ROUNDUP(M10,0))</f>
        <v>#REF!</v>
      </c>
      <c r="O10" s="5">
        <v>6</v>
      </c>
      <c r="P10" s="14" t="e">
        <f>VLOOKUP(Tabla2[[#This Row],[Código country]],#REF!,7,0)*Tabla2[[#This Row],[PEDIDO FINAL]]</f>
        <v>#REF!</v>
      </c>
    </row>
    <row r="11" spans="1:16" ht="18" hidden="1" x14ac:dyDescent="0.3">
      <c r="A11" s="5" t="s">
        <v>201</v>
      </c>
      <c r="B11" s="5">
        <v>13616</v>
      </c>
      <c r="C11" s="5" t="s">
        <v>86</v>
      </c>
      <c r="D11" s="7" t="e">
        <f>VLOOKUP(Tabla2[[#This Row],[Código country]],#REF!,4,0)</f>
        <v>#REF!</v>
      </c>
      <c r="E11" s="5">
        <v>191</v>
      </c>
      <c r="F11" s="7">
        <f>IFERROR(D11/IF(E11="",Configuración!$B$2,E11),0)</f>
        <v>0</v>
      </c>
      <c r="G11" s="5" t="e">
        <f>VLOOKUP(Tabla2[[#This Row],[Código country]],#REF!,8,0)</f>
        <v>#REF!</v>
      </c>
      <c r="H11" s="5"/>
      <c r="I11" s="5">
        <v>3</v>
      </c>
      <c r="J11" s="5">
        <v>3.5</v>
      </c>
      <c r="K11" s="5">
        <v>1</v>
      </c>
      <c r="L11" s="7">
        <f t="shared" si="0"/>
        <v>0</v>
      </c>
      <c r="M11" s="7" t="e">
        <f>MAX(0, F11*(IF(I11="",Configuración!$B$3,I11) + IF(J11="",Configuración!$B$4,J11)) - (G11+H11))</f>
        <v>#REF!</v>
      </c>
      <c r="N11" s="5" t="e">
        <f>IF(IF(K11="",Configuración!$B$5,K11)&gt;0, CEILING(M11, IF(K11="",Configuración!$B$5,K11)), ROUNDUP(M11,0))</f>
        <v>#REF!</v>
      </c>
      <c r="O11" s="5"/>
      <c r="P11" s="14" t="e">
        <f>VLOOKUP(Tabla2[[#This Row],[Código country]],#REF!,7,0)*Tabla2[[#This Row],[PEDIDO FINAL]]</f>
        <v>#REF!</v>
      </c>
    </row>
    <row r="12" spans="1:16" ht="18" x14ac:dyDescent="0.3">
      <c r="A12" s="5">
        <v>11556</v>
      </c>
      <c r="B12" s="5">
        <v>11556</v>
      </c>
      <c r="C12" s="5" t="s">
        <v>87</v>
      </c>
      <c r="D12" s="7" t="e">
        <f>VLOOKUP(Tabla2[[#This Row],[Código country]],#REF!,4,0)</f>
        <v>#REF!</v>
      </c>
      <c r="E12" s="5">
        <v>191</v>
      </c>
      <c r="F12" s="7">
        <f>IFERROR(D12/IF(E12="",Configuración!$B$2,E12),0)</f>
        <v>0</v>
      </c>
      <c r="G12" s="5" t="e">
        <f>VLOOKUP(Tabla2[[#This Row],[Código country]],#REF!,8,0)</f>
        <v>#REF!</v>
      </c>
      <c r="H12" s="5">
        <v>4</v>
      </c>
      <c r="I12" s="5">
        <v>3</v>
      </c>
      <c r="J12" s="5">
        <v>3.5</v>
      </c>
      <c r="K12" s="5">
        <v>1</v>
      </c>
      <c r="L12" s="7">
        <f t="shared" si="0"/>
        <v>0</v>
      </c>
      <c r="M12" s="7" t="e">
        <f>MAX(0, F12*(IF(I12="",Configuración!$B$3,I12) + IF(J12="",Configuración!$B$4,J12)) - (G12+H12))</f>
        <v>#REF!</v>
      </c>
      <c r="N12" s="5" t="e">
        <f>IF(IF(K12="",Configuración!$B$5,K12)&gt;0, CEILING(M12, IF(K12="",Configuración!$B$5,K12)), ROUNDUP(M12,0))</f>
        <v>#REF!</v>
      </c>
      <c r="O12" s="5">
        <v>4</v>
      </c>
      <c r="P12" s="14" t="e">
        <f>VLOOKUP(Tabla2[[#This Row],[Código country]],#REF!,7,0)*Tabla2[[#This Row],[PEDIDO FINAL]]</f>
        <v>#REF!</v>
      </c>
    </row>
    <row r="13" spans="1:16" ht="18" x14ac:dyDescent="0.3">
      <c r="A13" s="5">
        <v>11511</v>
      </c>
      <c r="B13" s="5">
        <v>11511</v>
      </c>
      <c r="C13" s="5" t="s">
        <v>14</v>
      </c>
      <c r="D13" s="7" t="e">
        <f>VLOOKUP(Tabla2[[#This Row],[Código country]],#REF!,4,0)</f>
        <v>#REF!</v>
      </c>
      <c r="E13" s="5">
        <v>191</v>
      </c>
      <c r="F13" s="7">
        <f>IFERROR(D13/IF(E13="",Configuración!$B$2,E13),0)</f>
        <v>0</v>
      </c>
      <c r="G13" s="5" t="e">
        <f>VLOOKUP(Tabla2[[#This Row],[Código country]],#REF!,8,0)</f>
        <v>#REF!</v>
      </c>
      <c r="H13" s="5">
        <v>30</v>
      </c>
      <c r="I13" s="5">
        <v>3</v>
      </c>
      <c r="J13" s="5">
        <v>3.5</v>
      </c>
      <c r="K13" s="5">
        <v>10</v>
      </c>
      <c r="L13" s="7">
        <f t="shared" si="0"/>
        <v>0</v>
      </c>
      <c r="M13" s="7" t="e">
        <f>MAX(0, F13*(IF(I13="",Configuración!$B$3,I13) + IF(J13="",Configuración!$B$4,J13)) - (G13+H13))</f>
        <v>#REF!</v>
      </c>
      <c r="N13" s="5" t="e">
        <f>IF(IF(K13="",Configuración!$B$5,K13)&gt;0, CEILING(M13, IF(K13="",Configuración!$B$5,K13)), ROUNDUP(M13,0))</f>
        <v>#REF!</v>
      </c>
      <c r="O13" s="5">
        <v>20</v>
      </c>
      <c r="P13" s="14">
        <v>10</v>
      </c>
    </row>
    <row r="14" spans="1:16" ht="18" x14ac:dyDescent="0.3">
      <c r="A14" s="5">
        <v>5125</v>
      </c>
      <c r="B14" s="5">
        <v>5125</v>
      </c>
      <c r="C14" s="5" t="s">
        <v>15</v>
      </c>
      <c r="D14" s="7" t="e">
        <f>VLOOKUP(Tabla2[[#This Row],[Código country]],#REF!,4,0)</f>
        <v>#REF!</v>
      </c>
      <c r="E14" s="5">
        <v>191</v>
      </c>
      <c r="F14" s="7">
        <f>IFERROR(D14/IF(E14="",Configuración!$B$2,E14),0)</f>
        <v>0</v>
      </c>
      <c r="G14" s="5" t="e">
        <f>VLOOKUP(Tabla2[[#This Row],[Código country]],#REF!,8,0)</f>
        <v>#REF!</v>
      </c>
      <c r="H14" s="5"/>
      <c r="I14" s="5">
        <v>3</v>
      </c>
      <c r="J14" s="5">
        <v>3.5</v>
      </c>
      <c r="K14" s="5">
        <v>12</v>
      </c>
      <c r="L14" s="7">
        <f t="shared" si="0"/>
        <v>0</v>
      </c>
      <c r="M14" s="7" t="e">
        <f>MAX(0, F14*(IF(I14="",Configuración!$B$3,I14) + IF(J14="",Configuración!$B$4,J14)) - (G14+H14))</f>
        <v>#REF!</v>
      </c>
      <c r="N14" s="5" t="e">
        <f>IF(IF(K14="",Configuración!$B$5,K14)&gt;0, CEILING(M14, IF(K14="",Configuración!$B$5,K14)), ROUNDUP(M14,0))</f>
        <v>#REF!</v>
      </c>
      <c r="O14" s="5">
        <v>12</v>
      </c>
      <c r="P14" s="14" t="e">
        <f>VLOOKUP(Tabla2[[#This Row],[Código country]],#REF!,7,0)*Tabla2[[#This Row],[PEDIDO FINAL]]</f>
        <v>#REF!</v>
      </c>
    </row>
    <row r="15" spans="1:16" ht="18" hidden="1" x14ac:dyDescent="0.3">
      <c r="A15" s="5" t="s">
        <v>13</v>
      </c>
      <c r="B15" s="5" t="s">
        <v>13</v>
      </c>
      <c r="C15" s="5" t="s">
        <v>88</v>
      </c>
      <c r="D15" s="7" t="e">
        <f>VLOOKUP(Tabla2[[#This Row],[Código country]],#REF!,4,0)</f>
        <v>#REF!</v>
      </c>
      <c r="E15" s="5">
        <v>191</v>
      </c>
      <c r="F15" s="7">
        <f>IFERROR(D15/IF(E15="",Configuración!$B$2,E15),0)</f>
        <v>0</v>
      </c>
      <c r="G15" s="5" t="e">
        <f>VLOOKUP(Tabla2[[#This Row],[Código country]],#REF!,8,0)</f>
        <v>#REF!</v>
      </c>
      <c r="H15" s="5">
        <v>2</v>
      </c>
      <c r="I15" s="5">
        <v>3</v>
      </c>
      <c r="J15" s="5">
        <v>3.5</v>
      </c>
      <c r="K15" s="5">
        <v>1</v>
      </c>
      <c r="L15" s="7">
        <f t="shared" si="0"/>
        <v>0</v>
      </c>
      <c r="M15" s="7" t="e">
        <f>MAX(0, F15*(IF(I15="",Configuración!$B$3,I15) + IF(J15="",Configuración!$B$4,J15)) - (G15+H15))</f>
        <v>#REF!</v>
      </c>
      <c r="N15" s="5" t="e">
        <f>IF(IF(K15="",Configuración!$B$5,K15)&gt;0, CEILING(M15, IF(K15="",Configuración!$B$5,K15)), ROUNDUP(M15,0))</f>
        <v>#REF!</v>
      </c>
      <c r="O15" s="5"/>
      <c r="P15" s="14" t="e">
        <f>VLOOKUP(Tabla2[[#This Row],[Código country]],#REF!,7,0)*Tabla2[[#This Row],[PEDIDO FINAL]]</f>
        <v>#REF!</v>
      </c>
    </row>
    <row r="16" spans="1:16" ht="18" hidden="1" x14ac:dyDescent="0.3">
      <c r="A16" s="5">
        <v>16579</v>
      </c>
      <c r="B16" s="5">
        <v>16579</v>
      </c>
      <c r="C16" s="5" t="s">
        <v>89</v>
      </c>
      <c r="D16" s="7" t="e">
        <f>VLOOKUP(Tabla2[[#This Row],[Código country]],#REF!,4,0)</f>
        <v>#REF!</v>
      </c>
      <c r="E16" s="5">
        <v>191</v>
      </c>
      <c r="F16" s="7">
        <f>IFERROR(D16/IF(E16="",Configuración!$B$2,E16),0)</f>
        <v>0</v>
      </c>
      <c r="G16" s="5" t="e">
        <f>VLOOKUP(Tabla2[[#This Row],[Código country]],#REF!,8,0)</f>
        <v>#REF!</v>
      </c>
      <c r="H16" s="5">
        <v>2</v>
      </c>
      <c r="I16" s="5">
        <v>3</v>
      </c>
      <c r="J16" s="5">
        <v>3.5</v>
      </c>
      <c r="K16" s="5">
        <v>1</v>
      </c>
      <c r="L16" s="7">
        <f t="shared" si="0"/>
        <v>0</v>
      </c>
      <c r="M16" s="7" t="e">
        <f>MAX(0, F16*(IF(I16="",Configuración!$B$3,I16) + IF(J16="",Configuración!$B$4,J16)) - (G16+H16))</f>
        <v>#REF!</v>
      </c>
      <c r="N16" s="5" t="e">
        <f>IF(IF(K16="",Configuración!$B$5,K16)&gt;0, CEILING(M16, IF(K16="",Configuración!$B$5,K16)), ROUNDUP(M16,0))</f>
        <v>#REF!</v>
      </c>
      <c r="O16" s="5"/>
      <c r="P16" s="14" t="e">
        <f>VLOOKUP(Tabla2[[#This Row],[Código country]],#REF!,7,0)*Tabla2[[#This Row],[PEDIDO FINAL]]</f>
        <v>#REF!</v>
      </c>
    </row>
    <row r="17" spans="1:16" ht="18" hidden="1" x14ac:dyDescent="0.3">
      <c r="A17" s="5">
        <v>17512</v>
      </c>
      <c r="B17" s="5">
        <v>17512</v>
      </c>
      <c r="C17" s="5" t="s">
        <v>205</v>
      </c>
      <c r="D17" s="7" t="e">
        <f>VLOOKUP(Tabla2[[#This Row],[Código country]],#REF!,4,0)</f>
        <v>#REF!</v>
      </c>
      <c r="E17" s="5">
        <v>191</v>
      </c>
      <c r="F17" s="7">
        <f>IFERROR(D17/IF(E17="",Configuración!$B$2,E17),0)</f>
        <v>0</v>
      </c>
      <c r="G17" s="5" t="e">
        <f>VLOOKUP(Tabla2[[#This Row],[Código country]],#REF!,8,0)</f>
        <v>#REF!</v>
      </c>
      <c r="H17" s="5">
        <v>2</v>
      </c>
      <c r="I17" s="5">
        <v>3</v>
      </c>
      <c r="J17" s="5">
        <v>3.5</v>
      </c>
      <c r="K17" s="5">
        <v>1</v>
      </c>
      <c r="L17" s="7">
        <f t="shared" si="0"/>
        <v>0</v>
      </c>
      <c r="M17" s="7" t="e">
        <f>MAX(0, F17*(IF(I17="",Configuración!$B$3,I17) + IF(J17="",Configuración!$B$4,J17)) - (G17+H17))</f>
        <v>#REF!</v>
      </c>
      <c r="N17" s="5" t="e">
        <f>IF(IF(K17="",Configuración!$B$5,K17)&gt;0, CEILING(M17, IF(K17="",Configuración!$B$5,K17)), ROUNDUP(M17,0))</f>
        <v>#REF!</v>
      </c>
      <c r="O17" s="5"/>
      <c r="P17" s="14" t="e">
        <f>VLOOKUP(Tabla2[[#This Row],[Código country]],#REF!,7,0)*Tabla2[[#This Row],[PEDIDO FINAL]]</f>
        <v>#REF!</v>
      </c>
    </row>
    <row r="18" spans="1:16" ht="18" x14ac:dyDescent="0.3">
      <c r="A18" s="5">
        <v>16875</v>
      </c>
      <c r="B18" s="5">
        <v>16875</v>
      </c>
      <c r="C18" s="5" t="s">
        <v>90</v>
      </c>
      <c r="D18" s="7" t="e">
        <f>VLOOKUP(Tabla2[[#This Row],[Código country]],#REF!,4,0)</f>
        <v>#REF!</v>
      </c>
      <c r="E18" s="5">
        <v>191</v>
      </c>
      <c r="F18" s="7">
        <f>IFERROR(D18/IF(E18="",Configuración!$B$2,E18),0)</f>
        <v>0</v>
      </c>
      <c r="G18" s="5" t="e">
        <f>VLOOKUP(Tabla2[[#This Row],[Código country]],#REF!,8,0)</f>
        <v>#REF!</v>
      </c>
      <c r="H18" s="5">
        <v>6</v>
      </c>
      <c r="I18" s="5">
        <v>3</v>
      </c>
      <c r="J18" s="5">
        <v>3.5</v>
      </c>
      <c r="K18" s="5">
        <v>1</v>
      </c>
      <c r="L18" s="7">
        <f t="shared" si="0"/>
        <v>0</v>
      </c>
      <c r="M18" s="7" t="e">
        <f>MAX(0, F18*(IF(I18="",Configuración!$B$3,I18) + IF(J18="",Configuración!$B$4,J18)) - (G18+H18))</f>
        <v>#REF!</v>
      </c>
      <c r="N18" s="5" t="e">
        <f>IF(IF(K18="",Configuración!$B$5,K18)&gt;0, CEILING(M18, IF(K18="",Configuración!$B$5,K18)), ROUNDUP(M18,0))</f>
        <v>#REF!</v>
      </c>
      <c r="O18" s="5">
        <v>4</v>
      </c>
      <c r="P18" s="14" t="e">
        <f>VLOOKUP(Tabla2[[#This Row],[Código country]],#REF!,7,0)*Tabla2[[#This Row],[PEDIDO FINAL]]</f>
        <v>#REF!</v>
      </c>
    </row>
    <row r="19" spans="1:16" ht="18" hidden="1" x14ac:dyDescent="0.3">
      <c r="A19" s="5">
        <v>12597</v>
      </c>
      <c r="B19" s="5">
        <v>12597</v>
      </c>
      <c r="C19" s="5" t="s">
        <v>91</v>
      </c>
      <c r="D19" s="7" t="e">
        <f>VLOOKUP(Tabla2[[#This Row],[Código country]],#REF!,4,0)</f>
        <v>#REF!</v>
      </c>
      <c r="E19" s="5">
        <v>191</v>
      </c>
      <c r="F19" s="7">
        <f>IFERROR(D19/IF(E19="",Configuración!$B$2,E19),0)</f>
        <v>0</v>
      </c>
      <c r="G19" s="5" t="e">
        <f>VLOOKUP(Tabla2[[#This Row],[Código country]],#REF!,8,0)</f>
        <v>#REF!</v>
      </c>
      <c r="H19" s="5"/>
      <c r="I19" s="5">
        <v>5</v>
      </c>
      <c r="J19" s="5">
        <v>3.5</v>
      </c>
      <c r="K19" s="5">
        <v>5</v>
      </c>
      <c r="L19" s="7">
        <f t="shared" si="0"/>
        <v>0</v>
      </c>
      <c r="M19" s="7" t="e">
        <f>MAX(0, F19*(IF(I19="",Configuración!$B$3,I19) + IF(J19="",Configuración!$B$4,J19)) - (G19+H19))</f>
        <v>#REF!</v>
      </c>
      <c r="N19" s="5" t="e">
        <f>IF(IF(K19="",Configuración!$B$5,K19)&gt;0, CEILING(M19, IF(K19="",Configuración!$B$5,K19)), ROUNDUP(M19,0))</f>
        <v>#REF!</v>
      </c>
      <c r="O19" s="5"/>
      <c r="P19" s="14" t="e">
        <f>VLOOKUP(Tabla2[[#This Row],[Código country]],#REF!,7,0)*Tabla2[[#This Row],[PEDIDO FINAL]]</f>
        <v>#REF!</v>
      </c>
    </row>
    <row r="20" spans="1:16" ht="18" hidden="1" x14ac:dyDescent="0.3">
      <c r="A20" s="5">
        <v>12511</v>
      </c>
      <c r="B20" s="5">
        <v>12511</v>
      </c>
      <c r="C20" s="5" t="s">
        <v>92</v>
      </c>
      <c r="D20" s="7" t="e">
        <f>VLOOKUP(Tabla2[[#This Row],[Código country]],#REF!,4,0)</f>
        <v>#REF!</v>
      </c>
      <c r="E20" s="5">
        <v>191</v>
      </c>
      <c r="F20" s="7">
        <f>IFERROR(D20/IF(E20="",Configuración!$B$2,E20),0)</f>
        <v>0</v>
      </c>
      <c r="G20" s="5" t="e">
        <f>VLOOKUP(Tabla2[[#This Row],[Código country]],#REF!,8,0)</f>
        <v>#REF!</v>
      </c>
      <c r="H20" s="5">
        <v>30</v>
      </c>
      <c r="I20" s="5">
        <v>7</v>
      </c>
      <c r="J20" s="5">
        <v>3.5</v>
      </c>
      <c r="K20" s="5">
        <v>12</v>
      </c>
      <c r="L20" s="7">
        <f t="shared" si="0"/>
        <v>0</v>
      </c>
      <c r="M20" s="7" t="e">
        <f>MAX(0, F20*(IF(I20="",Configuración!$B$3,I20) + IF(J20="",Configuración!$B$4,J20)) - (G20+H20))</f>
        <v>#REF!</v>
      </c>
      <c r="N20" s="5" t="e">
        <f>IF(IF(K20="",Configuración!$B$5,K20)&gt;0, CEILING(M20, IF(K20="",Configuración!$B$5,K20)), ROUNDUP(M20,0))</f>
        <v>#REF!</v>
      </c>
      <c r="O20" s="5"/>
      <c r="P20" s="14" t="e">
        <f>VLOOKUP(Tabla2[[#This Row],[Código country]],#REF!,7,0)*Tabla2[[#This Row],[PEDIDO FINAL]]</f>
        <v>#REF!</v>
      </c>
    </row>
    <row r="21" spans="1:16" ht="18" x14ac:dyDescent="0.3">
      <c r="A21" s="5">
        <v>12512</v>
      </c>
      <c r="B21" s="5">
        <v>12512</v>
      </c>
      <c r="C21" s="5" t="s">
        <v>93</v>
      </c>
      <c r="D21" s="7" t="e">
        <f>VLOOKUP(Tabla2[[#This Row],[Código country]],#REF!,4,0)</f>
        <v>#REF!</v>
      </c>
      <c r="E21" s="5">
        <v>191</v>
      </c>
      <c r="F21" s="7">
        <f>IFERROR(D21/IF(E21="",Configuración!$B$2,E21),0)</f>
        <v>0</v>
      </c>
      <c r="G21" s="5" t="e">
        <f>VLOOKUP(Tabla2[[#This Row],[Código country]],#REF!,8,0)</f>
        <v>#REF!</v>
      </c>
      <c r="H21" s="5">
        <v>6</v>
      </c>
      <c r="I21" s="5">
        <v>3</v>
      </c>
      <c r="J21" s="5">
        <v>3.5</v>
      </c>
      <c r="K21" s="5">
        <v>1</v>
      </c>
      <c r="L21" s="7">
        <f t="shared" si="0"/>
        <v>0</v>
      </c>
      <c r="M21" s="7" t="e">
        <f>MAX(0, F21*(IF(I21="",Configuración!$B$3,I21) + IF(J21="",Configuración!$B$4,J21)) - (G21+H21))</f>
        <v>#REF!</v>
      </c>
      <c r="N21" s="5" t="e">
        <f>IF(IF(K21="",Configuración!$B$5,K21)&gt;0, CEILING(M21, IF(K21="",Configuración!$B$5,K21)), ROUNDUP(M21,0))</f>
        <v>#REF!</v>
      </c>
      <c r="O21" s="5">
        <v>8</v>
      </c>
      <c r="P21" s="14" t="e">
        <f>VLOOKUP(Tabla2[[#This Row],[Código country]],#REF!,7,0)*Tabla2[[#This Row],[PEDIDO FINAL]]</f>
        <v>#REF!</v>
      </c>
    </row>
    <row r="22" spans="1:16" ht="18" hidden="1" x14ac:dyDescent="0.3">
      <c r="A22" s="5">
        <v>12521</v>
      </c>
      <c r="B22" s="5">
        <v>12521</v>
      </c>
      <c r="C22" s="5" t="s">
        <v>94</v>
      </c>
      <c r="D22" s="7" t="e">
        <f>VLOOKUP(Tabla2[[#This Row],[Código country]],#REF!,4,0)</f>
        <v>#REF!</v>
      </c>
      <c r="E22" s="5">
        <v>191</v>
      </c>
      <c r="F22" s="7">
        <f>IFERROR(D22/IF(E22="",Configuración!$B$2,E22),0)</f>
        <v>0</v>
      </c>
      <c r="G22" s="5" t="e">
        <f>VLOOKUP(Tabla2[[#This Row],[Código country]],#REF!,8,0)</f>
        <v>#REF!</v>
      </c>
      <c r="H22" s="5">
        <v>6</v>
      </c>
      <c r="I22" s="5">
        <v>3</v>
      </c>
      <c r="J22" s="5">
        <v>3.5</v>
      </c>
      <c r="K22" s="5">
        <v>1</v>
      </c>
      <c r="L22" s="7">
        <f t="shared" si="0"/>
        <v>0</v>
      </c>
      <c r="M22" s="7" t="e">
        <f>MAX(0, F22*(IF(I22="",Configuración!$B$3,I22) + IF(J22="",Configuración!$B$4,J22)) - (G22+H22))</f>
        <v>#REF!</v>
      </c>
      <c r="N22" s="5" t="e">
        <f>IF(IF(K22="",Configuración!$B$5,K22)&gt;0, CEILING(M22, IF(K22="",Configuración!$B$5,K22)), ROUNDUP(M22,0))</f>
        <v>#REF!</v>
      </c>
      <c r="O22" s="5"/>
      <c r="P22" s="14" t="e">
        <f>VLOOKUP(Tabla2[[#This Row],[Código country]],#REF!,7,0)*Tabla2[[#This Row],[PEDIDO FINAL]]</f>
        <v>#REF!</v>
      </c>
    </row>
    <row r="23" spans="1:16" ht="18" x14ac:dyDescent="0.3">
      <c r="A23" s="5">
        <v>12531</v>
      </c>
      <c r="B23" s="5">
        <v>12531</v>
      </c>
      <c r="C23" s="5" t="s">
        <v>95</v>
      </c>
      <c r="D23" s="7" t="e">
        <f>VLOOKUP(Tabla2[[#This Row],[Código country]],#REF!,4,0)</f>
        <v>#REF!</v>
      </c>
      <c r="E23" s="5">
        <v>191</v>
      </c>
      <c r="F23" s="7">
        <f>IFERROR(D23/IF(E23="",Configuración!$B$2,E23),0)</f>
        <v>0</v>
      </c>
      <c r="G23" s="5" t="e">
        <f>VLOOKUP(Tabla2[[#This Row],[Código country]],#REF!,8,0)</f>
        <v>#REF!</v>
      </c>
      <c r="H23" s="5">
        <v>20</v>
      </c>
      <c r="I23" s="5">
        <v>3</v>
      </c>
      <c r="J23" s="5">
        <v>3.5</v>
      </c>
      <c r="K23" s="5">
        <v>7</v>
      </c>
      <c r="L23" s="7">
        <f t="shared" si="0"/>
        <v>0</v>
      </c>
      <c r="M23" s="7" t="e">
        <f>MAX(0, F23*(IF(I23="",Configuración!$B$3,I23) + IF(J23="",Configuración!$B$4,J23)) - (G23+H23))</f>
        <v>#REF!</v>
      </c>
      <c r="N23" s="5" t="e">
        <f>IF(IF(K23="",Configuración!$B$5,K23)&gt;0, CEILING(M23, IF(K23="",Configuración!$B$5,K23)), ROUNDUP(M23,0))</f>
        <v>#REF!</v>
      </c>
      <c r="O23" s="5">
        <v>20</v>
      </c>
      <c r="P23" s="14" t="e">
        <f>VLOOKUP(Tabla2[[#This Row],[Código country]],#REF!,7,0)*Tabla2[[#This Row],[PEDIDO FINAL]]</f>
        <v>#REF!</v>
      </c>
    </row>
    <row r="24" spans="1:16" ht="18" x14ac:dyDescent="0.3">
      <c r="A24" s="5">
        <v>1351</v>
      </c>
      <c r="B24" s="5">
        <v>1351</v>
      </c>
      <c r="C24" s="5" t="s">
        <v>18</v>
      </c>
      <c r="D24" s="7" t="e">
        <f>VLOOKUP(Tabla2[[#This Row],[Código country]],#REF!,4,0)</f>
        <v>#REF!</v>
      </c>
      <c r="E24" s="5">
        <v>191</v>
      </c>
      <c r="F24" s="7">
        <f>IFERROR(D24/IF(E24="",Configuración!$B$2,E24),0)</f>
        <v>0</v>
      </c>
      <c r="G24" s="5" t="e">
        <f>VLOOKUP(Tabla2[[#This Row],[Código country]],#REF!,8,0)</f>
        <v>#REF!</v>
      </c>
      <c r="H24" s="5">
        <v>15</v>
      </c>
      <c r="I24" s="5">
        <v>7</v>
      </c>
      <c r="J24" s="5">
        <v>3.5</v>
      </c>
      <c r="K24" s="5">
        <v>15</v>
      </c>
      <c r="L24" s="7">
        <f t="shared" si="0"/>
        <v>0</v>
      </c>
      <c r="M24" s="7" t="e">
        <f>MAX(0, F24*(IF(I24="",Configuración!$B$3,I24) + IF(J24="",Configuración!$B$4,J24)) - (G24+H24))</f>
        <v>#REF!</v>
      </c>
      <c r="N24" s="5" t="e">
        <f>IF(IF(K24="",Configuración!$B$5,K24)&gt;0, CEILING(M24, IF(K24="",Configuración!$B$5,K24)), ROUNDUP(M24,0))</f>
        <v>#REF!</v>
      </c>
      <c r="O24" s="5">
        <v>15</v>
      </c>
      <c r="P24" s="14" t="e">
        <f>VLOOKUP(Tabla2[[#This Row],[Código country]],#REF!,7,0)*Tabla2[[#This Row],[PEDIDO FINAL]]</f>
        <v>#REF!</v>
      </c>
    </row>
    <row r="25" spans="1:16" ht="18" hidden="1" x14ac:dyDescent="0.3">
      <c r="A25" s="5">
        <v>1353</v>
      </c>
      <c r="B25" s="5">
        <v>13515</v>
      </c>
      <c r="C25" s="5" t="s">
        <v>96</v>
      </c>
      <c r="D25" s="7" t="e">
        <f>VLOOKUP(Tabla2[[#This Row],[Código country]],#REF!,4,0)</f>
        <v>#REF!</v>
      </c>
      <c r="E25" s="5">
        <v>191</v>
      </c>
      <c r="F25" s="7">
        <f>IFERROR(D25/IF(E25="",Configuración!$B$2,E25),0)</f>
        <v>0</v>
      </c>
      <c r="G25" s="5" t="e">
        <f>VLOOKUP(Tabla2[[#This Row],[Código country]],#REF!,8,0)</f>
        <v>#REF!</v>
      </c>
      <c r="H25" s="5"/>
      <c r="I25" s="5">
        <v>5</v>
      </c>
      <c r="J25" s="5">
        <v>3.5</v>
      </c>
      <c r="K25" s="5">
        <v>1</v>
      </c>
      <c r="L25" s="7">
        <f t="shared" si="0"/>
        <v>0</v>
      </c>
      <c r="M25" s="7" t="e">
        <f>MAX(0, F25*(IF(I25="",Configuración!$B$3,I25) + IF(J25="",Configuración!$B$4,J25)) - (G25+H25))</f>
        <v>#REF!</v>
      </c>
      <c r="N25" s="5" t="e">
        <f>IF(IF(K25="",Configuración!$B$5,K25)&gt;0, CEILING(M25, IF(K25="",Configuración!$B$5,K25)), ROUNDUP(M25,0))</f>
        <v>#REF!</v>
      </c>
      <c r="O25" s="5"/>
      <c r="P25" s="14" t="e">
        <f>VLOOKUP(Tabla2[[#This Row],[Código country]],#REF!,7,0)*Tabla2[[#This Row],[PEDIDO FINAL]]</f>
        <v>#REF!</v>
      </c>
    </row>
    <row r="26" spans="1:16" ht="18" hidden="1" x14ac:dyDescent="0.3">
      <c r="A26" s="5">
        <v>14511</v>
      </c>
      <c r="B26" s="5">
        <v>14511</v>
      </c>
      <c r="C26" s="5" t="s">
        <v>19</v>
      </c>
      <c r="D26" s="7" t="e">
        <f>VLOOKUP(Tabla2[[#This Row],[Código country]],#REF!,4,0)</f>
        <v>#REF!</v>
      </c>
      <c r="E26" s="5">
        <v>191</v>
      </c>
      <c r="F26" s="7">
        <f>IFERROR(D26/IF(E26="",Configuración!$B$2,E26),0)</f>
        <v>0</v>
      </c>
      <c r="G26" s="5" t="e">
        <f>VLOOKUP(Tabla2[[#This Row],[Código country]],#REF!,8,0)</f>
        <v>#REF!</v>
      </c>
      <c r="H26" s="5">
        <v>6</v>
      </c>
      <c r="I26" s="5">
        <v>5</v>
      </c>
      <c r="J26" s="5">
        <v>3.5</v>
      </c>
      <c r="K26" s="5">
        <v>1</v>
      </c>
      <c r="L26" s="7">
        <f t="shared" si="0"/>
        <v>0</v>
      </c>
      <c r="M26" s="7" t="e">
        <f>MAX(0, F26*(IF(I26="",Configuración!$B$3,I26) + IF(J26="",Configuración!$B$4,J26)) - (G26+H26))</f>
        <v>#REF!</v>
      </c>
      <c r="N26" s="5" t="e">
        <f>IF(IF(K26="",Configuración!$B$5,K26)&gt;0, CEILING(M26, IF(K26="",Configuración!$B$5,K26)), ROUNDUP(M26,0))</f>
        <v>#REF!</v>
      </c>
      <c r="O26" s="5"/>
      <c r="P26" s="14" t="e">
        <f>VLOOKUP(Tabla2[[#This Row],[Código country]],#REF!,7,0)*Tabla2[[#This Row],[PEDIDO FINAL]]</f>
        <v>#REF!</v>
      </c>
    </row>
    <row r="27" spans="1:16" ht="18" hidden="1" x14ac:dyDescent="0.3">
      <c r="A27" s="5">
        <v>14514</v>
      </c>
      <c r="B27" s="5">
        <v>14514</v>
      </c>
      <c r="C27" s="5" t="s">
        <v>20</v>
      </c>
      <c r="D27" s="7" t="e">
        <f>VLOOKUP(Tabla2[[#This Row],[Código country]],#REF!,4,0)</f>
        <v>#REF!</v>
      </c>
      <c r="E27" s="5">
        <v>191</v>
      </c>
      <c r="F27" s="7">
        <f>IFERROR(D27/IF(E27="",Configuración!$B$2,E27),0)</f>
        <v>0</v>
      </c>
      <c r="G27" s="5" t="e">
        <f>VLOOKUP(Tabla2[[#This Row],[Código country]],#REF!,8,0)</f>
        <v>#REF!</v>
      </c>
      <c r="H27" s="5"/>
      <c r="I27" s="5">
        <v>5</v>
      </c>
      <c r="J27" s="5">
        <v>3.5</v>
      </c>
      <c r="K27" s="5">
        <v>1</v>
      </c>
      <c r="L27" s="7">
        <f t="shared" si="0"/>
        <v>0</v>
      </c>
      <c r="M27" s="7" t="e">
        <f>MAX(0, F27*(IF(I27="",Configuración!$B$3,I27) + IF(J27="",Configuración!$B$4,J27)) - (G27+H27))</f>
        <v>#REF!</v>
      </c>
      <c r="N27" s="5" t="e">
        <f>IF(IF(K27="",Configuración!$B$5,K27)&gt;0, CEILING(M27, IF(K27="",Configuración!$B$5,K27)), ROUNDUP(M27,0))</f>
        <v>#REF!</v>
      </c>
      <c r="O27" s="5"/>
      <c r="P27" s="14" t="e">
        <f>VLOOKUP(Tabla2[[#This Row],[Código country]],#REF!,7,0)*Tabla2[[#This Row],[PEDIDO FINAL]]</f>
        <v>#REF!</v>
      </c>
    </row>
    <row r="28" spans="1:16" ht="18" hidden="1" x14ac:dyDescent="0.3">
      <c r="A28" s="5">
        <v>14565</v>
      </c>
      <c r="B28" s="5">
        <v>14565</v>
      </c>
      <c r="C28" s="5" t="s">
        <v>21</v>
      </c>
      <c r="D28" s="7" t="e">
        <f>VLOOKUP(Tabla2[[#This Row],[Código country]],#REF!,4,0)</f>
        <v>#REF!</v>
      </c>
      <c r="E28" s="5">
        <v>191</v>
      </c>
      <c r="F28" s="7">
        <f>IFERROR(D28/IF(E28="",Configuración!$B$2,E28),0)</f>
        <v>0</v>
      </c>
      <c r="G28" s="5" t="e">
        <f>VLOOKUP(Tabla2[[#This Row],[Código country]],#REF!,8,0)</f>
        <v>#REF!</v>
      </c>
      <c r="H28" s="5"/>
      <c r="I28" s="5">
        <v>5</v>
      </c>
      <c r="J28" s="5">
        <v>3.5</v>
      </c>
      <c r="K28" s="5">
        <v>1</v>
      </c>
      <c r="L28" s="7">
        <f t="shared" si="0"/>
        <v>0</v>
      </c>
      <c r="M28" s="7" t="e">
        <f>MAX(0, F28*(IF(I28="",Configuración!$B$3,I28) + IF(J28="",Configuración!$B$4,J28)) - (G28+H28))</f>
        <v>#REF!</v>
      </c>
      <c r="N28" s="5" t="e">
        <f>IF(IF(K28="",Configuración!$B$5,K28)&gt;0, CEILING(M28, IF(K28="",Configuración!$B$5,K28)), ROUNDUP(M28,0))</f>
        <v>#REF!</v>
      </c>
      <c r="O28" s="5"/>
      <c r="P28" s="14" t="e">
        <f>VLOOKUP(Tabla2[[#This Row],[Código country]],#REF!,7,0)*Tabla2[[#This Row],[PEDIDO FINAL]]</f>
        <v>#REF!</v>
      </c>
    </row>
    <row r="29" spans="1:16" ht="18" hidden="1" x14ac:dyDescent="0.3">
      <c r="A29" s="5" t="s">
        <v>16</v>
      </c>
      <c r="B29" s="5" t="s">
        <v>16</v>
      </c>
      <c r="C29" s="5" t="s">
        <v>97</v>
      </c>
      <c r="D29" s="7" t="e">
        <f>VLOOKUP(Tabla2[[#This Row],[Código country]],#REF!,4,0)</f>
        <v>#REF!</v>
      </c>
      <c r="E29" s="5">
        <v>191</v>
      </c>
      <c r="F29" s="7">
        <f>IFERROR(D29/IF(E29="",Configuración!$B$2,E29),0)</f>
        <v>0</v>
      </c>
      <c r="G29" s="5" t="e">
        <f>VLOOKUP(Tabla2[[#This Row],[Código country]],#REF!,8,0)</f>
        <v>#REF!</v>
      </c>
      <c r="H29" s="5"/>
      <c r="I29" s="5">
        <v>7</v>
      </c>
      <c r="J29" s="5">
        <v>3.5</v>
      </c>
      <c r="K29" s="5">
        <v>15</v>
      </c>
      <c r="L29" s="7">
        <f t="shared" si="0"/>
        <v>0</v>
      </c>
      <c r="M29" s="7" t="e">
        <f>MAX(0, F29*(IF(I29="",Configuración!$B$3,I29) + IF(J29="",Configuración!$B$4,J29)) - (G29+H29))</f>
        <v>#REF!</v>
      </c>
      <c r="N29" s="5" t="e">
        <f>IF(IF(K29="",Configuración!$B$5,K29)&gt;0, CEILING(M29, IF(K29="",Configuración!$B$5,K29)), ROUNDUP(M29,0))</f>
        <v>#REF!</v>
      </c>
      <c r="O29" s="5"/>
      <c r="P29" s="14" t="e">
        <f>VLOOKUP(Tabla2[[#This Row],[Código country]],#REF!,7,0)*Tabla2[[#This Row],[PEDIDO FINAL]]</f>
        <v>#REF!</v>
      </c>
    </row>
    <row r="30" spans="1:16" ht="18" x14ac:dyDescent="0.3">
      <c r="A30" s="5">
        <v>125581</v>
      </c>
      <c r="B30" s="5">
        <v>125581</v>
      </c>
      <c r="C30" s="5" t="s">
        <v>98</v>
      </c>
      <c r="D30" s="7" t="e">
        <f>VLOOKUP(Tabla2[[#This Row],[Código country]],#REF!,4,0)</f>
        <v>#REF!</v>
      </c>
      <c r="E30" s="5">
        <v>191</v>
      </c>
      <c r="F30" s="7">
        <f>IFERROR(D30/IF(E30="",Configuración!$B$2,E30),0)</f>
        <v>0</v>
      </c>
      <c r="G30" s="5" t="e">
        <f>VLOOKUP(Tabla2[[#This Row],[Código country]],#REF!,8,0)</f>
        <v>#REF!</v>
      </c>
      <c r="H30" s="5"/>
      <c r="I30" s="5">
        <v>7</v>
      </c>
      <c r="J30" s="5">
        <v>3.5</v>
      </c>
      <c r="K30" s="5">
        <v>10</v>
      </c>
      <c r="L30" s="7">
        <f t="shared" si="0"/>
        <v>0</v>
      </c>
      <c r="M30" s="7" t="e">
        <f>MAX(0, F30*(IF(I30="",Configuración!$B$3,I30) + IF(J30="",Configuración!$B$4,J30)) - (G30+H30))</f>
        <v>#REF!</v>
      </c>
      <c r="N30" s="5" t="e">
        <f>IF(IF(K30="",Configuración!$B$5,K30)&gt;0, CEILING(M30, IF(K30="",Configuración!$B$5,K30)), ROUNDUP(M30,0))</f>
        <v>#REF!</v>
      </c>
      <c r="O30" s="5">
        <v>15</v>
      </c>
      <c r="P30" s="14" t="e">
        <f>VLOOKUP(Tabla2[[#This Row],[Código country]],#REF!,7,0)*Tabla2[[#This Row],[PEDIDO FINAL]]</f>
        <v>#REF!</v>
      </c>
    </row>
    <row r="31" spans="1:16" ht="18" x14ac:dyDescent="0.3">
      <c r="A31" s="5">
        <v>12554</v>
      </c>
      <c r="B31" s="5">
        <v>12554</v>
      </c>
      <c r="C31" s="5" t="s">
        <v>99</v>
      </c>
      <c r="D31" s="7" t="e">
        <f>VLOOKUP(Tabla2[[#This Row],[Código country]],#REF!,4,0)</f>
        <v>#REF!</v>
      </c>
      <c r="E31" s="5">
        <v>191</v>
      </c>
      <c r="F31" s="7">
        <f>IFERROR(D31/IF(E31="",Configuración!$B$2,E31),0)</f>
        <v>0</v>
      </c>
      <c r="G31" s="5" t="e">
        <f>VLOOKUP(Tabla2[[#This Row],[Código country]],#REF!,8,0)</f>
        <v>#REF!</v>
      </c>
      <c r="H31" s="5">
        <v>45</v>
      </c>
      <c r="I31" s="5">
        <v>7</v>
      </c>
      <c r="J31" s="5">
        <v>3.5</v>
      </c>
      <c r="K31" s="5">
        <v>15</v>
      </c>
      <c r="L31" s="7">
        <f t="shared" si="0"/>
        <v>0</v>
      </c>
      <c r="M31" s="7" t="e">
        <f>MAX(0, F31*(IF(I31="",Configuración!$B$3,I31) + IF(J31="",Configuración!$B$4,J31)) - (G31+H31))</f>
        <v>#REF!</v>
      </c>
      <c r="N31" s="5" t="e">
        <f>IF(IF(K31="",Configuración!$B$5,K31)&gt;0, CEILING(M31, IF(K31="",Configuración!$B$5,K31)), ROUNDUP(M31,0))</f>
        <v>#REF!</v>
      </c>
      <c r="O31" s="5">
        <v>15</v>
      </c>
      <c r="P31" s="14" t="e">
        <f>VLOOKUP(Tabla2[[#This Row],[Código country]],#REF!,7,0)*Tabla2[[#This Row],[PEDIDO FINAL]]</f>
        <v>#REF!</v>
      </c>
    </row>
    <row r="32" spans="1:16" ht="18" x14ac:dyDescent="0.3">
      <c r="A32" s="5">
        <v>125542</v>
      </c>
      <c r="B32" s="5">
        <v>125542</v>
      </c>
      <c r="C32" s="5" t="s">
        <v>100</v>
      </c>
      <c r="D32" s="7" t="e">
        <f>VLOOKUP(Tabla2[[#This Row],[Código country]],#REF!,4,0)</f>
        <v>#REF!</v>
      </c>
      <c r="E32" s="5">
        <v>191</v>
      </c>
      <c r="F32" s="7">
        <f>IFERROR(D32/IF(E32="",Configuración!$B$2,E32),0)</f>
        <v>0</v>
      </c>
      <c r="G32" s="5" t="e">
        <f>VLOOKUP(Tabla2[[#This Row],[Código country]],#REF!,8,0)</f>
        <v>#REF!</v>
      </c>
      <c r="H32" s="5">
        <v>30</v>
      </c>
      <c r="I32" s="5">
        <v>7</v>
      </c>
      <c r="J32" s="5">
        <v>3.5</v>
      </c>
      <c r="K32" s="5">
        <v>15</v>
      </c>
      <c r="L32" s="7">
        <f t="shared" si="0"/>
        <v>0</v>
      </c>
      <c r="M32" s="7" t="e">
        <f>MAX(0, F32*(IF(I32="",Configuración!$B$3,I32) + IF(J32="",Configuración!$B$4,J32)) - (G32+H32))</f>
        <v>#REF!</v>
      </c>
      <c r="N32" s="5" t="e">
        <f>IF(IF(K32="",Configuración!$B$5,K32)&gt;0, CEILING(M32, IF(K32="",Configuración!$B$5,K32)), ROUNDUP(M32,0))</f>
        <v>#REF!</v>
      </c>
      <c r="O32" s="5">
        <v>30</v>
      </c>
      <c r="P32" s="14" t="e">
        <f>VLOOKUP(Tabla2[[#This Row],[Código country]],#REF!,7,0)*Tabla2[[#This Row],[PEDIDO FINAL]]</f>
        <v>#REF!</v>
      </c>
    </row>
    <row r="33" spans="1:16" ht="18" x14ac:dyDescent="0.3">
      <c r="A33" s="5" t="s">
        <v>17</v>
      </c>
      <c r="B33" s="5" t="s">
        <v>17</v>
      </c>
      <c r="C33" s="5" t="s">
        <v>22</v>
      </c>
      <c r="D33" s="7" t="e">
        <f>VLOOKUP(Tabla2[[#This Row],[Código country]],#REF!,4,0)</f>
        <v>#REF!</v>
      </c>
      <c r="E33" s="5">
        <v>191</v>
      </c>
      <c r="F33" s="7">
        <f>IFERROR(D33/IF(E33="",Configuración!$B$2,E33),0)</f>
        <v>0</v>
      </c>
      <c r="G33" s="5" t="e">
        <f>VLOOKUP(Tabla2[[#This Row],[Código country]],#REF!,8,0)</f>
        <v>#REF!</v>
      </c>
      <c r="H33" s="5"/>
      <c r="I33" s="5">
        <v>7</v>
      </c>
      <c r="J33" s="5">
        <v>3.5</v>
      </c>
      <c r="K33" s="5">
        <v>15</v>
      </c>
      <c r="L33" s="7">
        <f t="shared" si="0"/>
        <v>0</v>
      </c>
      <c r="M33" s="7" t="e">
        <f>MAX(0, F33*(IF(I33="",Configuración!$B$3,I33) + IF(J33="",Configuración!$B$4,J33)) - (G33+H33))</f>
        <v>#REF!</v>
      </c>
      <c r="N33" s="5" t="e">
        <f>IF(IF(K33="",Configuración!$B$5,K33)&gt;0, CEILING(M33, IF(K33="",Configuración!$B$5,K33)), ROUNDUP(M33,0))</f>
        <v>#REF!</v>
      </c>
      <c r="O33" s="5">
        <v>15</v>
      </c>
      <c r="P33" s="14" t="e">
        <f>VLOOKUP(Tabla2[[#This Row],[Código country]],#REF!,7,0)*Tabla2[[#This Row],[PEDIDO FINAL]]</f>
        <v>#REF!</v>
      </c>
    </row>
    <row r="34" spans="1:16" ht="18" hidden="1" x14ac:dyDescent="0.3">
      <c r="A34" s="5" t="s">
        <v>65</v>
      </c>
      <c r="B34" s="5" t="s">
        <v>65</v>
      </c>
      <c r="C34" s="5" t="s">
        <v>101</v>
      </c>
      <c r="D34" s="7" t="e">
        <f>VLOOKUP(Tabla2[[#This Row],[Código country]],#REF!,4,0)</f>
        <v>#REF!</v>
      </c>
      <c r="E34" s="5">
        <v>191</v>
      </c>
      <c r="F34" s="7">
        <f>IFERROR(D34/IF(E34="",Configuración!$B$2,E34),0)</f>
        <v>0</v>
      </c>
      <c r="G34" s="5" t="e">
        <f>VLOOKUP(Tabla2[[#This Row],[Código country]],#REF!,8,0)</f>
        <v>#REF!</v>
      </c>
      <c r="H34" s="5"/>
      <c r="I34" s="5">
        <v>7</v>
      </c>
      <c r="J34" s="5">
        <v>3.5</v>
      </c>
      <c r="K34" s="5">
        <v>12</v>
      </c>
      <c r="L34" s="7">
        <f t="shared" ref="L34:L65" si="1">IFERROR((G34+H34+O34)/F34,0)</f>
        <v>0</v>
      </c>
      <c r="M34" s="7" t="e">
        <f>MAX(0, F34*(IF(I34="",Configuración!$B$3,I34) + IF(J34="",Configuración!$B$4,J34)) - (G34+H34))</f>
        <v>#REF!</v>
      </c>
      <c r="N34" s="5" t="e">
        <f>IF(IF(K34="",Configuración!$B$5,K34)&gt;0, CEILING(M34, IF(K34="",Configuración!$B$5,K34)), ROUNDUP(M34,0))</f>
        <v>#REF!</v>
      </c>
      <c r="O34" s="5"/>
      <c r="P34" s="14" t="e">
        <f>VLOOKUP(Tabla2[[#This Row],[Código country]],#REF!,7,0)*Tabla2[[#This Row],[PEDIDO FINAL]]</f>
        <v>#REF!</v>
      </c>
    </row>
    <row r="35" spans="1:16" ht="18" x14ac:dyDescent="0.3">
      <c r="A35" s="5">
        <v>12552</v>
      </c>
      <c r="B35" s="5">
        <v>12552</v>
      </c>
      <c r="C35" s="5" t="s">
        <v>23</v>
      </c>
      <c r="D35" s="7" t="e">
        <f>VLOOKUP(Tabla2[[#This Row],[Código country]],#REF!,4,0)</f>
        <v>#REF!</v>
      </c>
      <c r="E35" s="5">
        <v>191</v>
      </c>
      <c r="F35" s="7">
        <f>IFERROR(D35/IF(E35="",Configuración!$B$2,E35),0)</f>
        <v>0</v>
      </c>
      <c r="G35" s="5" t="e">
        <f>VLOOKUP(Tabla2[[#This Row],[Código country]],#REF!,8,0)</f>
        <v>#REF!</v>
      </c>
      <c r="H35" s="5">
        <v>30</v>
      </c>
      <c r="I35" s="5">
        <v>3</v>
      </c>
      <c r="J35" s="5">
        <v>3.5</v>
      </c>
      <c r="K35" s="5">
        <v>15</v>
      </c>
      <c r="L35" s="7">
        <f t="shared" si="1"/>
        <v>0</v>
      </c>
      <c r="M35" s="7" t="e">
        <f>MAX(0, F35*(IF(I35="",Configuración!$B$3,I35) + IF(J35="",Configuración!$B$4,J35)) - (G35+H35))</f>
        <v>#REF!</v>
      </c>
      <c r="N35" s="5" t="e">
        <f>IF(IF(K35="",Configuración!$B$5,K35)&gt;0, CEILING(M35, IF(K35="",Configuración!$B$5,K35)), ROUNDUP(M35,0))</f>
        <v>#REF!</v>
      </c>
      <c r="O35" s="5">
        <v>30</v>
      </c>
      <c r="P35" s="14" t="e">
        <f>VLOOKUP(Tabla2[[#This Row],[Código country]],#REF!,7,0)*Tabla2[[#This Row],[PEDIDO FINAL]]</f>
        <v>#REF!</v>
      </c>
    </row>
    <row r="36" spans="1:16" ht="18" x14ac:dyDescent="0.3">
      <c r="A36" s="5">
        <v>12561</v>
      </c>
      <c r="B36" s="5">
        <v>12561</v>
      </c>
      <c r="C36" s="5" t="s">
        <v>24</v>
      </c>
      <c r="D36" s="7" t="e">
        <f>VLOOKUP(Tabla2[[#This Row],[Código country]],#REF!,4,0)</f>
        <v>#REF!</v>
      </c>
      <c r="E36" s="5">
        <v>191</v>
      </c>
      <c r="F36" s="7">
        <f>IFERROR(D36/IF(E36="",Configuración!$B$2,E36),0)</f>
        <v>0</v>
      </c>
      <c r="G36" s="5" t="e">
        <f>VLOOKUP(Tabla2[[#This Row],[Código country]],#REF!,8,0)</f>
        <v>#REF!</v>
      </c>
      <c r="H36" s="5"/>
      <c r="I36" s="5">
        <v>5</v>
      </c>
      <c r="J36" s="5">
        <v>3.5</v>
      </c>
      <c r="K36" s="5">
        <v>1</v>
      </c>
      <c r="L36" s="7">
        <f t="shared" si="1"/>
        <v>0</v>
      </c>
      <c r="M36" s="7" t="e">
        <f>MAX(0, F36*(IF(I36="",Configuración!$B$3,I36) + IF(J36="",Configuración!$B$4,J36)) - (G36+H36))</f>
        <v>#REF!</v>
      </c>
      <c r="N36" s="5" t="e">
        <f>IF(IF(K36="",Configuración!$B$5,K36)&gt;0, CEILING(M36, IF(K36="",Configuración!$B$5,K36)), ROUNDUP(M36,0))</f>
        <v>#REF!</v>
      </c>
      <c r="O36" s="5">
        <v>24</v>
      </c>
      <c r="P36" s="14" t="e">
        <f>VLOOKUP(Tabla2[[#This Row],[Código country]],#REF!,7,0)*Tabla2[[#This Row],[PEDIDO FINAL]]</f>
        <v>#REF!</v>
      </c>
    </row>
    <row r="37" spans="1:16" ht="18" hidden="1" x14ac:dyDescent="0.3">
      <c r="A37" s="5">
        <v>12562</v>
      </c>
      <c r="B37" s="5">
        <v>12562</v>
      </c>
      <c r="C37" s="5" t="s">
        <v>102</v>
      </c>
      <c r="D37" s="7" t="e">
        <f>VLOOKUP(Tabla2[[#This Row],[Código country]],#REF!,4,0)</f>
        <v>#REF!</v>
      </c>
      <c r="E37" s="5">
        <v>191</v>
      </c>
      <c r="F37" s="7">
        <f>IFERROR(D37/IF(E37="",Configuración!$B$2,E37),0)</f>
        <v>0</v>
      </c>
      <c r="G37" s="5" t="e">
        <f>VLOOKUP(Tabla2[[#This Row],[Código country]],#REF!,8,0)</f>
        <v>#REF!</v>
      </c>
      <c r="H37" s="5"/>
      <c r="I37" s="5">
        <v>5</v>
      </c>
      <c r="J37" s="5">
        <v>3.5</v>
      </c>
      <c r="K37" s="5">
        <v>1</v>
      </c>
      <c r="L37" s="7">
        <f t="shared" si="1"/>
        <v>0</v>
      </c>
      <c r="M37" s="7" t="e">
        <f>MAX(0, F37*(IF(I37="",Configuración!$B$3,I37) + IF(J37="",Configuración!$B$4,J37)) - (G37+H37))</f>
        <v>#REF!</v>
      </c>
      <c r="N37" s="5" t="e">
        <f>IF(IF(K37="",Configuración!$B$5,K37)&gt;0, CEILING(M37, IF(K37="",Configuración!$B$5,K37)), ROUNDUP(M37,0))</f>
        <v>#REF!</v>
      </c>
      <c r="O37" s="5"/>
      <c r="P37" s="14" t="e">
        <f>VLOOKUP(Tabla2[[#This Row],[Código country]],#REF!,7,0)*Tabla2[[#This Row],[PEDIDO FINAL]]</f>
        <v>#REF!</v>
      </c>
    </row>
    <row r="38" spans="1:16" ht="18" x14ac:dyDescent="0.3">
      <c r="A38" s="5">
        <v>12563</v>
      </c>
      <c r="B38" s="5">
        <v>12563</v>
      </c>
      <c r="C38" s="5" t="s">
        <v>103</v>
      </c>
      <c r="D38" s="7" t="e">
        <f>VLOOKUP(Tabla2[[#This Row],[Código country]],#REF!,4,0)</f>
        <v>#REF!</v>
      </c>
      <c r="E38" s="5">
        <v>191</v>
      </c>
      <c r="F38" s="7">
        <f>IFERROR(D38/IF(E38="",Configuración!$B$2,E38),0)</f>
        <v>0</v>
      </c>
      <c r="G38" s="5" t="e">
        <f>VLOOKUP(Tabla2[[#This Row],[Código country]],#REF!,8,0)</f>
        <v>#REF!</v>
      </c>
      <c r="H38" s="5">
        <v>20</v>
      </c>
      <c r="I38" s="5">
        <v>8</v>
      </c>
      <c r="J38" s="5">
        <v>3.5</v>
      </c>
      <c r="K38" s="5">
        <v>10</v>
      </c>
      <c r="L38" s="7">
        <f t="shared" si="1"/>
        <v>0</v>
      </c>
      <c r="M38" s="7" t="e">
        <f>MAX(0, F38*(IF(I38="",Configuración!$B$3,I38) + IF(J38="",Configuración!$B$4,J38)) - (G38+H38))</f>
        <v>#REF!</v>
      </c>
      <c r="N38" s="5" t="e">
        <f>IF(IF(K38="",Configuración!$B$5,K38)&gt;0, CEILING(M38, IF(K38="",Configuración!$B$5,K38)), ROUNDUP(M38,0))</f>
        <v>#REF!</v>
      </c>
      <c r="O38" s="5">
        <v>60</v>
      </c>
      <c r="P38" s="14" t="e">
        <f>VLOOKUP(Tabla2[[#This Row],[Código country]],#REF!,7,0)*Tabla2[[#This Row],[PEDIDO FINAL]]</f>
        <v>#REF!</v>
      </c>
    </row>
    <row r="39" spans="1:16" ht="18" x14ac:dyDescent="0.3">
      <c r="A39" s="5">
        <v>12613</v>
      </c>
      <c r="B39" s="5">
        <v>12613</v>
      </c>
      <c r="C39" s="5" t="s">
        <v>104</v>
      </c>
      <c r="D39" s="7" t="e">
        <f>VLOOKUP(Tabla2[[#This Row],[Código country]],#REF!,4,0)</f>
        <v>#REF!</v>
      </c>
      <c r="E39" s="5">
        <v>191</v>
      </c>
      <c r="F39" s="7">
        <f>IFERROR(D39/IF(E39="",Configuración!$B$2,E39),0)</f>
        <v>0</v>
      </c>
      <c r="G39" s="5" t="e">
        <f>VLOOKUP(Tabla2[[#This Row],[Código country]],#REF!,8,0)</f>
        <v>#REF!</v>
      </c>
      <c r="H39" s="5"/>
      <c r="I39" s="5">
        <v>8</v>
      </c>
      <c r="J39" s="5">
        <v>3.5</v>
      </c>
      <c r="K39" s="5">
        <v>1</v>
      </c>
      <c r="L39" s="7">
        <f t="shared" si="1"/>
        <v>0</v>
      </c>
      <c r="M39" s="7" t="e">
        <f>MAX(0, F39*(IF(I39="",Configuración!$B$3,I39) + IF(J39="",Configuración!$B$4,J39)) - (G39+H39))</f>
        <v>#REF!</v>
      </c>
      <c r="N39" s="5" t="e">
        <f>IF(IF(K39="",Configuración!$B$5,K39)&gt;0, CEILING(M39, IF(K39="",Configuración!$B$5,K39)), ROUNDUP(M39,0))</f>
        <v>#REF!</v>
      </c>
      <c r="O39" s="5">
        <v>12</v>
      </c>
      <c r="P39" s="14" t="e">
        <f>VLOOKUP(Tabla2[[#This Row],[Código country]],#REF!,7,0)*Tabla2[[#This Row],[PEDIDO FINAL]]</f>
        <v>#REF!</v>
      </c>
    </row>
    <row r="40" spans="1:16" ht="18" hidden="1" x14ac:dyDescent="0.3">
      <c r="A40" s="5">
        <v>125641</v>
      </c>
      <c r="B40" s="5">
        <v>125641</v>
      </c>
      <c r="C40" s="5" t="s">
        <v>105</v>
      </c>
      <c r="D40" s="7" t="e">
        <f>VLOOKUP(Tabla2[[#This Row],[Código country]],#REF!,4,0)</f>
        <v>#REF!</v>
      </c>
      <c r="E40" s="5">
        <v>191</v>
      </c>
      <c r="F40" s="7">
        <f>IFERROR(D40/IF(E40="",Configuración!$B$2,E40),0)</f>
        <v>0</v>
      </c>
      <c r="G40" s="5" t="e">
        <f>VLOOKUP(Tabla2[[#This Row],[Código country]],#REF!,8,0)</f>
        <v>#REF!</v>
      </c>
      <c r="H40" s="5"/>
      <c r="I40" s="5">
        <v>5</v>
      </c>
      <c r="J40" s="5">
        <v>3.5</v>
      </c>
      <c r="K40" s="5">
        <v>3</v>
      </c>
      <c r="L40" s="7">
        <f t="shared" si="1"/>
        <v>0</v>
      </c>
      <c r="M40" s="7" t="e">
        <f>MAX(0, F40*(IF(I40="",Configuración!$B$3,I40) + IF(J40="",Configuración!$B$4,J40)) - (G40+H40))</f>
        <v>#REF!</v>
      </c>
      <c r="N40" s="5" t="e">
        <f>IF(IF(K40="",Configuración!$B$5,K40)&gt;0, CEILING(M40, IF(K40="",Configuración!$B$5,K40)), ROUNDUP(M40,0))</f>
        <v>#REF!</v>
      </c>
      <c r="O40" s="5"/>
      <c r="P40" s="14" t="e">
        <f>VLOOKUP(Tabla2[[#This Row],[Código country]],#REF!,7,0)*Tabla2[[#This Row],[PEDIDO FINAL]]</f>
        <v>#REF!</v>
      </c>
    </row>
    <row r="41" spans="1:16" ht="18" hidden="1" x14ac:dyDescent="0.3">
      <c r="A41" s="5">
        <v>12570</v>
      </c>
      <c r="B41" s="5">
        <v>12570</v>
      </c>
      <c r="C41" s="5" t="s">
        <v>106</v>
      </c>
      <c r="D41" s="7" t="e">
        <f>VLOOKUP(Tabla2[[#This Row],[Código country]],#REF!,4,0)</f>
        <v>#REF!</v>
      </c>
      <c r="E41" s="5">
        <v>191</v>
      </c>
      <c r="F41" s="7">
        <f>IFERROR(D41/IF(E41="",Configuración!$B$2,E41),0)</f>
        <v>0</v>
      </c>
      <c r="G41" s="5" t="e">
        <f>VLOOKUP(Tabla2[[#This Row],[Código country]],#REF!,8,0)</f>
        <v>#REF!</v>
      </c>
      <c r="H41" s="5"/>
      <c r="I41" s="5">
        <v>5</v>
      </c>
      <c r="J41" s="5">
        <v>3.5</v>
      </c>
      <c r="K41" s="5">
        <v>1</v>
      </c>
      <c r="L41" s="7">
        <f t="shared" si="1"/>
        <v>0</v>
      </c>
      <c r="M41" s="7" t="e">
        <f>MAX(0, F41*(IF(I41="",Configuración!$B$3,I41) + IF(J41="",Configuración!$B$4,J41)) - (G41+H41))</f>
        <v>#REF!</v>
      </c>
      <c r="N41" s="5" t="e">
        <f>IF(IF(K41="",Configuración!$B$5,K41)&gt;0, CEILING(M41, IF(K41="",Configuración!$B$5,K41)), ROUNDUP(M41,0))</f>
        <v>#REF!</v>
      </c>
      <c r="O41" s="5"/>
      <c r="P41" s="14" t="e">
        <f>VLOOKUP(Tabla2[[#This Row],[Código country]],#REF!,7,0)*Tabla2[[#This Row],[PEDIDO FINAL]]</f>
        <v>#REF!</v>
      </c>
    </row>
    <row r="42" spans="1:16" ht="18" hidden="1" x14ac:dyDescent="0.3">
      <c r="A42" s="5">
        <v>13617</v>
      </c>
      <c r="B42" s="5" t="s">
        <v>66</v>
      </c>
      <c r="C42" s="5" t="s">
        <v>107</v>
      </c>
      <c r="D42" s="7" t="e">
        <f>VLOOKUP(Tabla2[[#This Row],[Código country]],#REF!,4,0)</f>
        <v>#REF!</v>
      </c>
      <c r="E42" s="5">
        <v>191</v>
      </c>
      <c r="F42" s="7">
        <f>IFERROR(D42/IF(E42="",Configuración!$B$2,E42),0)</f>
        <v>0</v>
      </c>
      <c r="G42" s="5" t="e">
        <f>VLOOKUP(Tabla2[[#This Row],[Código country]],#REF!,8,0)</f>
        <v>#REF!</v>
      </c>
      <c r="H42" s="5"/>
      <c r="I42" s="5">
        <v>5</v>
      </c>
      <c r="J42" s="5">
        <v>3.5</v>
      </c>
      <c r="K42" s="5">
        <v>1</v>
      </c>
      <c r="L42" s="7">
        <f t="shared" si="1"/>
        <v>0</v>
      </c>
      <c r="M42" s="7" t="e">
        <f>MAX(0, F42*(IF(I42="",Configuración!$B$3,I42) + IF(J42="",Configuración!$B$4,J42)) - (G42+H42))</f>
        <v>#REF!</v>
      </c>
      <c r="N42" s="5" t="e">
        <f>IF(IF(K42="",Configuración!$B$5,K42)&gt;0, CEILING(M42, IF(K42="",Configuración!$B$5,K42)), ROUNDUP(M42,0))</f>
        <v>#REF!</v>
      </c>
      <c r="O42" s="5"/>
      <c r="P42" s="14" t="e">
        <f>VLOOKUP(Tabla2[[#This Row],[Código country]],#REF!,7,0)*Tabla2[[#This Row],[PEDIDO FINAL]]</f>
        <v>#REF!</v>
      </c>
    </row>
    <row r="43" spans="1:16" ht="18" x14ac:dyDescent="0.3">
      <c r="A43" s="5" t="s">
        <v>26</v>
      </c>
      <c r="B43" s="5">
        <v>12572</v>
      </c>
      <c r="C43" s="5" t="s">
        <v>108</v>
      </c>
      <c r="D43" s="7" t="e">
        <f>VLOOKUP(Tabla2[[#This Row],[Código country]],#REF!,4,0)</f>
        <v>#REF!</v>
      </c>
      <c r="E43" s="5">
        <v>191</v>
      </c>
      <c r="F43" s="7">
        <f>IFERROR(D43/IF(E43="",Configuración!$B$2,E43),0)</f>
        <v>0</v>
      </c>
      <c r="G43" s="5" t="e">
        <f>VLOOKUP(Tabla2[[#This Row],[Código country]],#REF!,8,0)</f>
        <v>#REF!</v>
      </c>
      <c r="H43" s="5">
        <v>30</v>
      </c>
      <c r="I43" s="5">
        <v>3</v>
      </c>
      <c r="J43" s="5">
        <v>3.5</v>
      </c>
      <c r="K43" s="5">
        <v>1</v>
      </c>
      <c r="L43" s="7">
        <f t="shared" si="1"/>
        <v>0</v>
      </c>
      <c r="M43" s="7" t="e">
        <f>MAX(0, F43*(IF(I43="",Configuración!$B$3,I43) + IF(J43="",Configuración!$B$4,J43)) - (G43+H43))</f>
        <v>#REF!</v>
      </c>
      <c r="N43" s="5" t="e">
        <f>IF(IF(K43="",Configuración!$B$5,K43)&gt;0, CEILING(M43, IF(K43="",Configuración!$B$5,K43)), ROUNDUP(M43,0))</f>
        <v>#REF!</v>
      </c>
      <c r="O43" s="5">
        <v>40</v>
      </c>
      <c r="P43" s="14" t="e">
        <f>VLOOKUP(Tabla2[[#This Row],[Código country]],#REF!,7,0)*Tabla2[[#This Row],[PEDIDO FINAL]]</f>
        <v>#REF!</v>
      </c>
    </row>
    <row r="44" spans="1:16" ht="18" x14ac:dyDescent="0.3">
      <c r="A44" s="5">
        <v>12575</v>
      </c>
      <c r="B44" s="5">
        <v>12575</v>
      </c>
      <c r="C44" s="5" t="s">
        <v>109</v>
      </c>
      <c r="D44" s="7" t="e">
        <f>VLOOKUP(Tabla2[[#This Row],[Código country]],#REF!,4,0)</f>
        <v>#REF!</v>
      </c>
      <c r="E44" s="5">
        <v>191</v>
      </c>
      <c r="F44" s="7">
        <f>IFERROR(D44/IF(E44="",Configuración!$B$2,E44),0)</f>
        <v>0</v>
      </c>
      <c r="G44" s="5" t="e">
        <f>VLOOKUP(Tabla2[[#This Row],[Código country]],#REF!,8,0)</f>
        <v>#REF!</v>
      </c>
      <c r="H44" s="5"/>
      <c r="I44" s="5">
        <v>3</v>
      </c>
      <c r="J44" s="5">
        <v>3.5</v>
      </c>
      <c r="K44" s="5">
        <v>1</v>
      </c>
      <c r="L44" s="7">
        <f t="shared" si="1"/>
        <v>0</v>
      </c>
      <c r="M44" s="7" t="e">
        <f>MAX(0, F44*(IF(I44="",Configuración!$B$3,I44) + IF(J44="",Configuración!$B$4,J44)) - (G44+H44))</f>
        <v>#REF!</v>
      </c>
      <c r="N44" s="5" t="e">
        <f>IF(IF(K44="",Configuración!$B$5,K44)&gt;0, CEILING(M44, IF(K44="",Configuración!$B$5,K44)), ROUNDUP(M44,0))</f>
        <v>#REF!</v>
      </c>
      <c r="O44" s="5">
        <v>2</v>
      </c>
      <c r="P44" s="14" t="e">
        <f>VLOOKUP(Tabla2[[#This Row],[Código country]],#REF!,7,0)*Tabla2[[#This Row],[PEDIDO FINAL]]</f>
        <v>#REF!</v>
      </c>
    </row>
    <row r="45" spans="1:16" ht="18" hidden="1" x14ac:dyDescent="0.3">
      <c r="A45" s="5">
        <v>12576</v>
      </c>
      <c r="B45" s="5">
        <v>12577</v>
      </c>
      <c r="C45" s="5" t="s">
        <v>110</v>
      </c>
      <c r="D45" s="7" t="e">
        <f>VLOOKUP(Tabla2[[#This Row],[Código country]],#REF!,4,0)</f>
        <v>#REF!</v>
      </c>
      <c r="E45" s="5">
        <v>191</v>
      </c>
      <c r="F45" s="7">
        <f>IFERROR(D45/IF(E45="",Configuración!$B$2,E45),0)</f>
        <v>0</v>
      </c>
      <c r="G45" s="5" t="e">
        <f>VLOOKUP(Tabla2[[#This Row],[Código country]],#REF!,8,0)</f>
        <v>#REF!</v>
      </c>
      <c r="H45" s="5"/>
      <c r="I45" s="5">
        <v>3</v>
      </c>
      <c r="J45" s="5">
        <v>3.5</v>
      </c>
      <c r="K45" s="5">
        <v>1</v>
      </c>
      <c r="L45" s="7">
        <f t="shared" si="1"/>
        <v>0</v>
      </c>
      <c r="M45" s="7" t="e">
        <f>MAX(0, F45*(IF(I45="",Configuración!$B$3,I45) + IF(J45="",Configuración!$B$4,J45)) - (G45+H45))</f>
        <v>#REF!</v>
      </c>
      <c r="N45" s="5" t="e">
        <f>IF(IF(K45="",Configuración!$B$5,K45)&gt;0, CEILING(M45, IF(K45="",Configuración!$B$5,K45)), ROUNDUP(M45,0))</f>
        <v>#REF!</v>
      </c>
      <c r="O45" s="5"/>
      <c r="P45" s="14" t="e">
        <f>VLOOKUP(Tabla2[[#This Row],[Código country]],#REF!,7,0)*Tabla2[[#This Row],[PEDIDO FINAL]]</f>
        <v>#REF!</v>
      </c>
    </row>
    <row r="46" spans="1:16" ht="18" hidden="1" x14ac:dyDescent="0.3">
      <c r="A46" s="5">
        <v>12584</v>
      </c>
      <c r="B46" s="5">
        <v>12584</v>
      </c>
      <c r="C46" s="5" t="s">
        <v>111</v>
      </c>
      <c r="D46" s="7" t="e">
        <f>VLOOKUP(Tabla2[[#This Row],[Código country]],#REF!,4,0)</f>
        <v>#REF!</v>
      </c>
      <c r="E46" s="5">
        <v>191</v>
      </c>
      <c r="F46" s="7">
        <f>IFERROR(D46/IF(E46="",Configuración!$B$2,E46),0)</f>
        <v>0</v>
      </c>
      <c r="G46" s="5" t="e">
        <f>VLOOKUP(Tabla2[[#This Row],[Código country]],#REF!,8,0)</f>
        <v>#REF!</v>
      </c>
      <c r="H46" s="5"/>
      <c r="I46" s="5">
        <v>3</v>
      </c>
      <c r="J46" s="5">
        <v>3.5</v>
      </c>
      <c r="K46" s="5">
        <v>2</v>
      </c>
      <c r="L46" s="7">
        <f t="shared" si="1"/>
        <v>0</v>
      </c>
      <c r="M46" s="7" t="e">
        <f>MAX(0, F46*(IF(I46="",Configuración!$B$3,I46) + IF(J46="",Configuración!$B$4,J46)) - (G46+H46))</f>
        <v>#REF!</v>
      </c>
      <c r="N46" s="5" t="e">
        <f>IF(IF(K46="",Configuración!$B$5,K46)&gt;0, CEILING(M46, IF(K46="",Configuración!$B$5,K46)), ROUNDUP(M46,0))</f>
        <v>#REF!</v>
      </c>
      <c r="O46" s="5"/>
      <c r="P46" s="14" t="e">
        <f>VLOOKUP(Tabla2[[#This Row],[Código country]],#REF!,7,0)*Tabla2[[#This Row],[PEDIDO FINAL]]</f>
        <v>#REF!</v>
      </c>
    </row>
    <row r="47" spans="1:16" ht="18" x14ac:dyDescent="0.3">
      <c r="A47" s="5">
        <v>12603</v>
      </c>
      <c r="B47" s="5">
        <v>12603</v>
      </c>
      <c r="C47" s="5" t="s">
        <v>112</v>
      </c>
      <c r="D47" s="7" t="e">
        <f>VLOOKUP(Tabla2[[#This Row],[Código country]],#REF!,4,0)</f>
        <v>#REF!</v>
      </c>
      <c r="E47" s="5">
        <v>191</v>
      </c>
      <c r="F47" s="7">
        <f>IFERROR(D47/IF(E47="",Configuración!$B$2,E47),0)</f>
        <v>0</v>
      </c>
      <c r="G47" s="5" t="e">
        <f>VLOOKUP(Tabla2[[#This Row],[Código country]],#REF!,8,0)</f>
        <v>#REF!</v>
      </c>
      <c r="H47" s="5">
        <v>30</v>
      </c>
      <c r="I47" s="5">
        <v>3</v>
      </c>
      <c r="J47" s="5">
        <v>3.5</v>
      </c>
      <c r="K47" s="5">
        <v>40</v>
      </c>
      <c r="L47" s="7">
        <f t="shared" si="1"/>
        <v>0</v>
      </c>
      <c r="M47" s="7" t="e">
        <f>MAX(0, F47*(IF(I47="",Configuración!$B$3,I47) + IF(J47="",Configuración!$B$4,J47)) - (G47+H47))</f>
        <v>#REF!</v>
      </c>
      <c r="N47" s="5" t="e">
        <f>IF(IF(K47="",Configuración!$B$5,K47)&gt;0, CEILING(M47, IF(K47="",Configuración!$B$5,K47)), ROUNDUP(M47,0))</f>
        <v>#REF!</v>
      </c>
      <c r="O47" s="5">
        <v>80</v>
      </c>
      <c r="P47" s="14" t="e">
        <f>VLOOKUP(Tabla2[[#This Row],[Código country]],#REF!,7,0)*Tabla2[[#This Row],[PEDIDO FINAL]]</f>
        <v>#REF!</v>
      </c>
    </row>
    <row r="48" spans="1:16" ht="18" hidden="1" x14ac:dyDescent="0.3">
      <c r="A48" s="5">
        <v>12588</v>
      </c>
      <c r="B48" s="5">
        <v>12588</v>
      </c>
      <c r="C48" s="5" t="s">
        <v>113</v>
      </c>
      <c r="D48" s="7" t="e">
        <f>VLOOKUP(Tabla2[[#This Row],[Código country]],#REF!,4,0)</f>
        <v>#REF!</v>
      </c>
      <c r="E48" s="5">
        <v>191</v>
      </c>
      <c r="F48" s="7">
        <f>IFERROR(D48/IF(E48="",Configuración!$B$2,E48),0)</f>
        <v>0</v>
      </c>
      <c r="G48" s="5" t="e">
        <f>VLOOKUP(Tabla2[[#This Row],[Código country]],#REF!,8,0)</f>
        <v>#REF!</v>
      </c>
      <c r="H48" s="5"/>
      <c r="I48" s="5">
        <v>3</v>
      </c>
      <c r="J48" s="5">
        <v>3.5</v>
      </c>
      <c r="K48" s="5">
        <v>1</v>
      </c>
      <c r="L48" s="7">
        <f t="shared" si="1"/>
        <v>0</v>
      </c>
      <c r="M48" s="7" t="e">
        <f>MAX(0, F48*(IF(I48="",Configuración!$B$3,I48) + IF(J48="",Configuración!$B$4,J48)) - (G48+H48))</f>
        <v>#REF!</v>
      </c>
      <c r="N48" s="5" t="e">
        <f>IF(IF(K48="",Configuración!$B$5,K48)&gt;0, CEILING(M48, IF(K48="",Configuración!$B$5,K48)), ROUNDUP(M48,0))</f>
        <v>#REF!</v>
      </c>
      <c r="O48" s="5"/>
      <c r="P48" s="14" t="e">
        <f>VLOOKUP(Tabla2[[#This Row],[Código country]],#REF!,7,0)*Tabla2[[#This Row],[PEDIDO FINAL]]</f>
        <v>#REF!</v>
      </c>
    </row>
    <row r="49" spans="1:16" ht="18" x14ac:dyDescent="0.3">
      <c r="A49" s="5">
        <v>4341</v>
      </c>
      <c r="B49" s="5">
        <v>4146</v>
      </c>
      <c r="C49" s="5" t="s">
        <v>114</v>
      </c>
      <c r="D49" s="7" t="e">
        <f>VLOOKUP(Tabla2[[#This Row],[Código country]],#REF!,4,0)</f>
        <v>#REF!</v>
      </c>
      <c r="E49" s="5">
        <v>191</v>
      </c>
      <c r="F49" s="7">
        <f>IFERROR(D49/IF(E49="",Configuración!$B$2,E49),0)</f>
        <v>0</v>
      </c>
      <c r="G49" s="5" t="e">
        <f>VLOOKUP(Tabla2[[#This Row],[Código country]],#REF!,8,0)</f>
        <v>#REF!</v>
      </c>
      <c r="H49" s="5"/>
      <c r="I49" s="5">
        <v>5</v>
      </c>
      <c r="J49" s="5">
        <v>3.5</v>
      </c>
      <c r="K49" s="5">
        <v>9</v>
      </c>
      <c r="L49" s="7">
        <f t="shared" si="1"/>
        <v>0</v>
      </c>
      <c r="M49" s="7" t="e">
        <f>MAX(0, F49*(IF(I49="",Configuración!$B$3,I49) + IF(J49="",Configuración!$B$4,J49)) - (G49+H49))</f>
        <v>#REF!</v>
      </c>
      <c r="N49" s="5" t="e">
        <f>IF(IF(K49="",Configuración!$B$5,K49)&gt;0, CEILING(M49, IF(K49="",Configuración!$B$5,K49)), ROUNDUP(M49,0))</f>
        <v>#REF!</v>
      </c>
      <c r="O49" s="5">
        <v>1</v>
      </c>
      <c r="P49" s="14" t="e">
        <f>VLOOKUP(Tabla2[[#This Row],[Código country]],#REF!,7,0)*Tabla2[[#This Row],[PEDIDO FINAL]]</f>
        <v>#REF!</v>
      </c>
    </row>
    <row r="50" spans="1:16" ht="18" hidden="1" x14ac:dyDescent="0.3">
      <c r="A50" s="5">
        <v>14522</v>
      </c>
      <c r="B50" s="5">
        <v>14522</v>
      </c>
      <c r="C50" s="5" t="s">
        <v>29</v>
      </c>
      <c r="D50" s="7" t="e">
        <f>VLOOKUP(Tabla2[[#This Row],[Código country]],#REF!,4,0)</f>
        <v>#REF!</v>
      </c>
      <c r="E50" s="5">
        <v>191</v>
      </c>
      <c r="F50" s="7">
        <f>IFERROR(D50/IF(E50="",Configuración!$B$2,E50),0)</f>
        <v>0</v>
      </c>
      <c r="G50" s="5" t="e">
        <f>VLOOKUP(Tabla2[[#This Row],[Código country]],#REF!,8,0)</f>
        <v>#REF!</v>
      </c>
      <c r="H50" s="5">
        <v>10</v>
      </c>
      <c r="I50" s="5">
        <v>5</v>
      </c>
      <c r="J50" s="5">
        <v>3.5</v>
      </c>
      <c r="K50" s="5">
        <v>10</v>
      </c>
      <c r="L50" s="7">
        <f t="shared" si="1"/>
        <v>0</v>
      </c>
      <c r="M50" s="7" t="e">
        <f>MAX(0, F50*(IF(I50="",Configuración!$B$3,I50) + IF(J50="",Configuración!$B$4,J50)) - (G50+H50))</f>
        <v>#REF!</v>
      </c>
      <c r="N50" s="5" t="e">
        <f>IF(IF(K50="",Configuración!$B$5,K50)&gt;0, CEILING(M50, IF(K50="",Configuración!$B$5,K50)), ROUNDUP(M50,0))</f>
        <v>#REF!</v>
      </c>
      <c r="O50" s="5"/>
      <c r="P50" s="14" t="e">
        <f>VLOOKUP(Tabla2[[#This Row],[Código country]],#REF!,7,0)*Tabla2[[#This Row],[PEDIDO FINAL]]</f>
        <v>#REF!</v>
      </c>
    </row>
    <row r="51" spans="1:16" ht="18" x14ac:dyDescent="0.3">
      <c r="A51" s="5">
        <v>12591</v>
      </c>
      <c r="B51" s="5">
        <v>12591</v>
      </c>
      <c r="C51" s="5" t="s">
        <v>115</v>
      </c>
      <c r="D51" s="7" t="e">
        <f>VLOOKUP(Tabla2[[#This Row],[Código country]],#REF!,4,0)</f>
        <v>#REF!</v>
      </c>
      <c r="E51" s="5">
        <v>191</v>
      </c>
      <c r="F51" s="7">
        <f>IFERROR(D51/IF(E51="",Configuración!$B$2,E51),0)</f>
        <v>0</v>
      </c>
      <c r="G51" s="5" t="e">
        <f>VLOOKUP(Tabla2[[#This Row],[Código country]],#REF!,8,0)</f>
        <v>#REF!</v>
      </c>
      <c r="H51" s="5">
        <v>6</v>
      </c>
      <c r="I51" s="5">
        <v>3</v>
      </c>
      <c r="J51" s="5">
        <v>3.5</v>
      </c>
      <c r="K51" s="5">
        <v>3</v>
      </c>
      <c r="L51" s="7">
        <f t="shared" si="1"/>
        <v>0</v>
      </c>
      <c r="M51" s="7" t="e">
        <f>MAX(0, F51*(IF(I51="",Configuración!$B$3,I51) + IF(J51="",Configuración!$B$4,J51)) - (G51+H51))</f>
        <v>#REF!</v>
      </c>
      <c r="N51" s="5" t="e">
        <f>IF(IF(K51="",Configuración!$B$5,K51)&gt;0, CEILING(M51, IF(K51="",Configuración!$B$5,K51)), ROUNDUP(M51,0))</f>
        <v>#REF!</v>
      </c>
      <c r="O51" s="5">
        <v>12</v>
      </c>
      <c r="P51" s="14" t="e">
        <f>VLOOKUP(Tabla2[[#This Row],[Código country]],#REF!,7,0)*Tabla2[[#This Row],[PEDIDO FINAL]]</f>
        <v>#REF!</v>
      </c>
    </row>
    <row r="52" spans="1:16" ht="18" x14ac:dyDescent="0.3">
      <c r="A52" s="5" t="s">
        <v>25</v>
      </c>
      <c r="B52" s="5">
        <v>11522</v>
      </c>
      <c r="C52" s="5" t="s">
        <v>116</v>
      </c>
      <c r="D52" s="7" t="e">
        <f>VLOOKUP(Tabla2[[#This Row],[Código country]],#REF!,4,0)</f>
        <v>#REF!</v>
      </c>
      <c r="E52" s="5">
        <v>191</v>
      </c>
      <c r="F52" s="7">
        <f>IFERROR(D52/IF(E52="",Configuración!$B$2,E52),0)</f>
        <v>0</v>
      </c>
      <c r="G52" s="5" t="e">
        <f>VLOOKUP(Tabla2[[#This Row],[Código country]],#REF!,8,0)</f>
        <v>#REF!</v>
      </c>
      <c r="H52" s="5">
        <v>100</v>
      </c>
      <c r="I52" s="5">
        <v>3</v>
      </c>
      <c r="J52" s="5">
        <v>3.5</v>
      </c>
      <c r="K52" s="5">
        <v>20</v>
      </c>
      <c r="L52" s="7">
        <f t="shared" si="1"/>
        <v>0</v>
      </c>
      <c r="M52" s="7" t="e">
        <f>MAX(0, F52*(IF(I52="",Configuración!$B$3,I52) + IF(J52="",Configuración!$B$4,J52)) - (G52+H52))</f>
        <v>#REF!</v>
      </c>
      <c r="N52" s="5" t="e">
        <f>IF(IF(K52="",Configuración!$B$5,K52)&gt;0, CEILING(M52, IF(K52="",Configuración!$B$5,K52)), ROUNDUP(M52,0))</f>
        <v>#REF!</v>
      </c>
      <c r="O52" s="5">
        <v>40</v>
      </c>
      <c r="P52" s="14" t="e">
        <f>VLOOKUP(Tabla2[[#This Row],[Código country]],#REF!,7,0)*Tabla2[[#This Row],[PEDIDO FINAL]]</f>
        <v>#REF!</v>
      </c>
    </row>
    <row r="53" spans="1:16" ht="18" x14ac:dyDescent="0.3">
      <c r="A53" s="5">
        <v>11524</v>
      </c>
      <c r="B53" s="5">
        <v>11524</v>
      </c>
      <c r="C53" s="5" t="s">
        <v>30</v>
      </c>
      <c r="D53" s="7" t="e">
        <f>VLOOKUP(Tabla2[[#This Row],[Código country]],#REF!,4,0)</f>
        <v>#REF!</v>
      </c>
      <c r="E53" s="5">
        <v>191</v>
      </c>
      <c r="F53" s="7">
        <f>IFERROR(D53/IF(E53="",Configuración!$B$2,E53),0)</f>
        <v>0</v>
      </c>
      <c r="G53" s="5" t="e">
        <f>VLOOKUP(Tabla2[[#This Row],[Código country]],#REF!,8,0)</f>
        <v>#REF!</v>
      </c>
      <c r="H53" s="5">
        <v>30</v>
      </c>
      <c r="I53" s="5">
        <v>3</v>
      </c>
      <c r="J53" s="5">
        <v>3.5</v>
      </c>
      <c r="K53" s="5">
        <v>20</v>
      </c>
      <c r="L53" s="7">
        <f t="shared" si="1"/>
        <v>0</v>
      </c>
      <c r="M53" s="7" t="e">
        <f>MAX(0, F53*(IF(I53="",Configuración!$B$3,I53) + IF(J53="",Configuración!$B$4,J53)) - (G53+H53))</f>
        <v>#REF!</v>
      </c>
      <c r="N53" s="5" t="e">
        <f>IF(IF(K53="",Configuración!$B$5,K53)&gt;0, CEILING(M53, IF(K53="",Configuración!$B$5,K53)), ROUNDUP(M53,0))</f>
        <v>#REF!</v>
      </c>
      <c r="O53" s="5">
        <v>40</v>
      </c>
      <c r="P53" s="14" t="e">
        <f>VLOOKUP(Tabla2[[#This Row],[Código country]],#REF!,7,0)*Tabla2[[#This Row],[PEDIDO FINAL]]</f>
        <v>#REF!</v>
      </c>
    </row>
    <row r="54" spans="1:16" ht="18" hidden="1" x14ac:dyDescent="0.3">
      <c r="A54" s="5" t="s">
        <v>67</v>
      </c>
      <c r="B54" s="5" t="s">
        <v>67</v>
      </c>
      <c r="C54" s="5" t="s">
        <v>117</v>
      </c>
      <c r="D54" s="7" t="e">
        <f>VLOOKUP(Tabla2[[#This Row],[Código country]],#REF!,4,0)</f>
        <v>#REF!</v>
      </c>
      <c r="E54" s="5">
        <v>191</v>
      </c>
      <c r="F54" s="7">
        <f>IFERROR(D54/IF(E54="",Configuración!$B$2,E54),0)</f>
        <v>0</v>
      </c>
      <c r="G54" s="5" t="e">
        <f>VLOOKUP(Tabla2[[#This Row],[Código country]],#REF!,8,0)</f>
        <v>#REF!</v>
      </c>
      <c r="H54" s="5">
        <v>5</v>
      </c>
      <c r="I54" s="5">
        <v>5</v>
      </c>
      <c r="J54" s="5">
        <v>3.5</v>
      </c>
      <c r="K54" s="5">
        <v>1</v>
      </c>
      <c r="L54" s="7">
        <f t="shared" si="1"/>
        <v>0</v>
      </c>
      <c r="M54" s="7" t="e">
        <f>MAX(0, F54*(IF(I54="",Configuración!$B$3,I54) + IF(J54="",Configuración!$B$4,J54)) - (G54+H54))</f>
        <v>#REF!</v>
      </c>
      <c r="N54" s="5" t="e">
        <f>IF(IF(K54="",Configuración!$B$5,K54)&gt;0, CEILING(M54, IF(K54="",Configuración!$B$5,K54)), ROUNDUP(M54,0))</f>
        <v>#REF!</v>
      </c>
      <c r="O54" s="5"/>
      <c r="P54" s="14" t="e">
        <f>VLOOKUP(Tabla2[[#This Row],[Código country]],#REF!,7,0)*Tabla2[[#This Row],[PEDIDO FINAL]]</f>
        <v>#REF!</v>
      </c>
    </row>
    <row r="55" spans="1:16" ht="18" hidden="1" x14ac:dyDescent="0.3">
      <c r="A55" s="5">
        <v>16592</v>
      </c>
      <c r="B55" s="5">
        <v>16592</v>
      </c>
      <c r="C55" s="5" t="s">
        <v>34</v>
      </c>
      <c r="D55" s="7" t="e">
        <f>VLOOKUP(Tabla2[[#This Row],[Código country]],#REF!,4,0)</f>
        <v>#REF!</v>
      </c>
      <c r="E55" s="5">
        <v>191</v>
      </c>
      <c r="F55" s="7">
        <f>IFERROR(D55/IF(E55="",Configuración!$B$2,E55),0)</f>
        <v>0</v>
      </c>
      <c r="G55" s="5" t="e">
        <f>VLOOKUP(Tabla2[[#This Row],[Código country]],#REF!,8,0)</f>
        <v>#REF!</v>
      </c>
      <c r="H55" s="5">
        <v>20</v>
      </c>
      <c r="I55" s="5">
        <v>3</v>
      </c>
      <c r="J55" s="5">
        <v>3.5</v>
      </c>
      <c r="K55" s="5">
        <v>20</v>
      </c>
      <c r="L55" s="7">
        <f t="shared" si="1"/>
        <v>0</v>
      </c>
      <c r="M55" s="7" t="e">
        <f>MAX(0, F55*(IF(I55="",Configuración!$B$3,I55) + IF(J55="",Configuración!$B$4,J55)) - (G55+H55))</f>
        <v>#REF!</v>
      </c>
      <c r="N55" s="5" t="e">
        <f>IF(IF(K55="",Configuración!$B$5,K55)&gt;0, CEILING(M55, IF(K55="",Configuración!$B$5,K55)), ROUNDUP(M55,0))</f>
        <v>#REF!</v>
      </c>
      <c r="O55" s="5"/>
      <c r="P55" s="14" t="e">
        <f>VLOOKUP(Tabla2[[#This Row],[Código country]],#REF!,7,0)*Tabla2[[#This Row],[PEDIDO FINAL]]</f>
        <v>#REF!</v>
      </c>
    </row>
    <row r="56" spans="1:16" ht="18" hidden="1" x14ac:dyDescent="0.3">
      <c r="A56" s="5">
        <v>16593</v>
      </c>
      <c r="B56" s="5">
        <v>16593</v>
      </c>
      <c r="C56" s="5" t="s">
        <v>118</v>
      </c>
      <c r="D56" s="7" t="e">
        <f>VLOOKUP(Tabla2[[#This Row],[Código country]],#REF!,4,0)</f>
        <v>#REF!</v>
      </c>
      <c r="E56" s="5">
        <v>191</v>
      </c>
      <c r="F56" s="7">
        <f>IFERROR(D56/IF(E56="",Configuración!$B$2,E56),0)</f>
        <v>0</v>
      </c>
      <c r="G56" s="5" t="e">
        <f>VLOOKUP(Tabla2[[#This Row],[Código country]],#REF!,8,0)</f>
        <v>#REF!</v>
      </c>
      <c r="H56" s="5"/>
      <c r="I56" s="5">
        <v>5</v>
      </c>
      <c r="J56" s="5">
        <v>3.5</v>
      </c>
      <c r="K56" s="5">
        <v>1</v>
      </c>
      <c r="L56" s="7">
        <f t="shared" si="1"/>
        <v>0</v>
      </c>
      <c r="M56" s="7" t="e">
        <f>MAX(0, F56*(IF(I56="",Configuración!$B$3,I56) + IF(J56="",Configuración!$B$4,J56)) - (G56+H56))</f>
        <v>#REF!</v>
      </c>
      <c r="N56" s="5" t="e">
        <f>IF(IF(K56="",Configuración!$B$5,K56)&gt;0, CEILING(M56, IF(K56="",Configuración!$B$5,K56)), ROUNDUP(M56,0))</f>
        <v>#REF!</v>
      </c>
      <c r="O56" s="5"/>
      <c r="P56" s="14" t="e">
        <f>VLOOKUP(Tabla2[[#This Row],[Código country]],#REF!,7,0)*Tabla2[[#This Row],[PEDIDO FINAL]]</f>
        <v>#REF!</v>
      </c>
    </row>
    <row r="57" spans="1:16" ht="18" hidden="1" x14ac:dyDescent="0.3">
      <c r="A57" s="6">
        <v>125111</v>
      </c>
      <c r="B57" s="5">
        <v>125112</v>
      </c>
      <c r="C57" s="5" t="s">
        <v>119</v>
      </c>
      <c r="D57" s="7" t="e">
        <f>VLOOKUP(Tabla2[[#This Row],[Código country]],#REF!,4,0)</f>
        <v>#REF!</v>
      </c>
      <c r="E57" s="5">
        <v>191</v>
      </c>
      <c r="F57" s="7">
        <f>IFERROR(D57/IF(E57="",Configuración!$B$2,E57),0)</f>
        <v>0</v>
      </c>
      <c r="G57" s="5" t="e">
        <f>VLOOKUP(Tabla2[[#This Row],[Código country]],#REF!,8,0)</f>
        <v>#REF!</v>
      </c>
      <c r="H57" s="5"/>
      <c r="I57" s="5">
        <v>5</v>
      </c>
      <c r="J57" s="5">
        <v>3.5</v>
      </c>
      <c r="K57" s="5">
        <v>11</v>
      </c>
      <c r="L57" s="7">
        <f t="shared" si="1"/>
        <v>0</v>
      </c>
      <c r="M57" s="7" t="e">
        <f>MAX(0, F57*(IF(I57="",Configuración!$B$3,I57) + IF(J57="",Configuración!$B$4,J57)) - (G57+H57))</f>
        <v>#REF!</v>
      </c>
      <c r="N57" s="5" t="e">
        <f>IF(IF(K57="",Configuración!$B$5,K57)&gt;0, CEILING(M57, IF(K57="",Configuración!$B$5,K57)), ROUNDUP(M57,0))</f>
        <v>#REF!</v>
      </c>
      <c r="O57" s="5"/>
      <c r="P57" s="14" t="e">
        <f>VLOOKUP(Tabla2[[#This Row],[Código country]],#REF!,7,0)*Tabla2[[#This Row],[PEDIDO FINAL]]</f>
        <v>#REF!</v>
      </c>
    </row>
    <row r="58" spans="1:16" ht="18" x14ac:dyDescent="0.3">
      <c r="A58" s="5">
        <v>11531</v>
      </c>
      <c r="B58" s="5">
        <v>11531</v>
      </c>
      <c r="C58" s="5" t="s">
        <v>36</v>
      </c>
      <c r="D58" s="7" t="e">
        <f>VLOOKUP(Tabla2[[#This Row],[Código country]],#REF!,4,0)</f>
        <v>#REF!</v>
      </c>
      <c r="E58" s="5">
        <v>191</v>
      </c>
      <c r="F58" s="7">
        <f>IFERROR(D58/IF(E58="",Configuración!$B$2,E58),0)</f>
        <v>0</v>
      </c>
      <c r="G58" s="5" t="e">
        <f>VLOOKUP(Tabla2[[#This Row],[Código country]],#REF!,8,0)</f>
        <v>#REF!</v>
      </c>
      <c r="H58" s="5">
        <v>20</v>
      </c>
      <c r="I58" s="5">
        <v>3</v>
      </c>
      <c r="J58" s="5">
        <v>3.5</v>
      </c>
      <c r="K58" s="5">
        <v>10</v>
      </c>
      <c r="L58" s="7">
        <f t="shared" si="1"/>
        <v>0</v>
      </c>
      <c r="M58" s="7" t="e">
        <f>MAX(0, F58*(IF(I58="",Configuración!$B$3,I58) + IF(J58="",Configuración!$B$4,J58)) - (G58+H58))</f>
        <v>#REF!</v>
      </c>
      <c r="N58" s="5" t="e">
        <f>IF(IF(K58="",Configuración!$B$5,K58)&gt;0, CEILING(M58, IF(K58="",Configuración!$B$5,K58)), ROUNDUP(M58,0))</f>
        <v>#REF!</v>
      </c>
      <c r="O58" s="5">
        <v>30</v>
      </c>
      <c r="P58" s="14" t="e">
        <f>VLOOKUP(Tabla2[[#This Row],[Código country]],#REF!,7,0)*Tabla2[[#This Row],[PEDIDO FINAL]]</f>
        <v>#REF!</v>
      </c>
    </row>
    <row r="59" spans="1:16" ht="18" hidden="1" x14ac:dyDescent="0.3">
      <c r="A59" s="5" t="s">
        <v>27</v>
      </c>
      <c r="B59" s="5" t="s">
        <v>27</v>
      </c>
      <c r="C59" s="5" t="s">
        <v>120</v>
      </c>
      <c r="D59" s="7" t="e">
        <f>VLOOKUP(Tabla2[[#This Row],[Código country]],#REF!,4,0)</f>
        <v>#REF!</v>
      </c>
      <c r="E59" s="5">
        <v>191</v>
      </c>
      <c r="F59" s="7">
        <f>IFERROR(D59/IF(E59="",Configuración!$B$2,E59),0)</f>
        <v>0</v>
      </c>
      <c r="G59" s="5" t="e">
        <f>VLOOKUP(Tabla2[[#This Row],[Código country]],#REF!,8,0)</f>
        <v>#REF!</v>
      </c>
      <c r="H59" s="5">
        <v>10</v>
      </c>
      <c r="I59" s="5">
        <v>3</v>
      </c>
      <c r="J59" s="5">
        <v>3.5</v>
      </c>
      <c r="K59" s="5">
        <v>1</v>
      </c>
      <c r="L59" s="7">
        <f t="shared" si="1"/>
        <v>0</v>
      </c>
      <c r="M59" s="7" t="e">
        <f>MAX(0, F59*(IF(I59="",Configuración!$B$3,I59) + IF(J59="",Configuración!$B$4,J59)) - (G59+H59))</f>
        <v>#REF!</v>
      </c>
      <c r="N59" s="5" t="e">
        <f>IF(IF(K59="",Configuración!$B$5,K59)&gt;0, CEILING(M59, IF(K59="",Configuración!$B$5,K59)), ROUNDUP(M59,0))</f>
        <v>#REF!</v>
      </c>
      <c r="O59" s="5"/>
      <c r="P59" s="14" t="e">
        <f>VLOOKUP(Tabla2[[#This Row],[Código country]],#REF!,7,0)*Tabla2[[#This Row],[PEDIDO FINAL]]</f>
        <v>#REF!</v>
      </c>
    </row>
    <row r="60" spans="1:16" ht="18" x14ac:dyDescent="0.3">
      <c r="A60" s="5">
        <v>15521</v>
      </c>
      <c r="B60" s="5">
        <v>15521</v>
      </c>
      <c r="C60" s="5" t="s">
        <v>121</v>
      </c>
      <c r="D60" s="7" t="e">
        <f>VLOOKUP(Tabla2[[#This Row],[Código country]],#REF!,4,0)</f>
        <v>#REF!</v>
      </c>
      <c r="E60" s="5">
        <v>191</v>
      </c>
      <c r="F60" s="7">
        <f>IFERROR(D60/IF(E60="",Configuración!$B$2,E60),0)</f>
        <v>0</v>
      </c>
      <c r="G60" s="5" t="e">
        <f>VLOOKUP(Tabla2[[#This Row],[Código country]],#REF!,8,0)</f>
        <v>#REF!</v>
      </c>
      <c r="H60" s="5">
        <v>10</v>
      </c>
      <c r="I60" s="5">
        <v>3</v>
      </c>
      <c r="J60" s="5">
        <v>3.5</v>
      </c>
      <c r="K60" s="5">
        <v>1</v>
      </c>
      <c r="L60" s="7">
        <f t="shared" si="1"/>
        <v>0</v>
      </c>
      <c r="M60" s="7" t="e">
        <f>MAX(0, F60*(IF(I60="",Configuración!$B$3,I60) + IF(J60="",Configuración!$B$4,J60)) - (G60+H60))</f>
        <v>#REF!</v>
      </c>
      <c r="N60" s="5" t="e">
        <f>IF(IF(K60="",Configuración!$B$5,K60)&gt;0, CEILING(M60, IF(K60="",Configuración!$B$5,K60)), ROUNDUP(M60,0))</f>
        <v>#REF!</v>
      </c>
      <c r="O60" s="5">
        <v>12</v>
      </c>
      <c r="P60" s="14" t="e">
        <f>VLOOKUP(Tabla2[[#This Row],[Código country]],#REF!,7,0)*Tabla2[[#This Row],[PEDIDO FINAL]]</f>
        <v>#REF!</v>
      </c>
    </row>
    <row r="61" spans="1:16" ht="18" hidden="1" x14ac:dyDescent="0.3">
      <c r="A61" s="5">
        <v>17558</v>
      </c>
      <c r="B61" s="5">
        <v>17558</v>
      </c>
      <c r="C61" s="5" t="s">
        <v>37</v>
      </c>
      <c r="D61" s="7" t="e">
        <f>VLOOKUP(Tabla2[[#This Row],[Código country]],#REF!,4,0)</f>
        <v>#REF!</v>
      </c>
      <c r="E61" s="5">
        <v>191</v>
      </c>
      <c r="F61" s="7">
        <f>IFERROR(D61/IF(E61="",Configuración!$B$2,E61),0)</f>
        <v>0</v>
      </c>
      <c r="G61" s="5" t="e">
        <f>VLOOKUP(Tabla2[[#This Row],[Código country]],#REF!,8,0)</f>
        <v>#REF!</v>
      </c>
      <c r="H61" s="5">
        <v>2</v>
      </c>
      <c r="I61" s="5">
        <v>3</v>
      </c>
      <c r="J61" s="5">
        <v>3.5</v>
      </c>
      <c r="K61" s="5">
        <v>1</v>
      </c>
      <c r="L61" s="7">
        <f t="shared" si="1"/>
        <v>0</v>
      </c>
      <c r="M61" s="7" t="e">
        <f>MAX(0, F61*(IF(I61="",Configuración!$B$3,I61) + IF(J61="",Configuración!$B$4,J61)) - (G61+H61))</f>
        <v>#REF!</v>
      </c>
      <c r="N61" s="5" t="e">
        <f>IF(IF(K61="",Configuración!$B$5,K61)&gt;0, CEILING(M61, IF(K61="",Configuración!$B$5,K61)), ROUNDUP(M61,0))</f>
        <v>#REF!</v>
      </c>
      <c r="O61" s="5"/>
      <c r="P61" s="14" t="e">
        <f>VLOOKUP(Tabla2[[#This Row],[Código country]],#REF!,7,0)*Tabla2[[#This Row],[PEDIDO FINAL]]</f>
        <v>#REF!</v>
      </c>
    </row>
    <row r="62" spans="1:16" ht="18" x14ac:dyDescent="0.3">
      <c r="A62" s="5">
        <v>17557</v>
      </c>
      <c r="B62" s="5">
        <v>17557</v>
      </c>
      <c r="C62" s="5" t="s">
        <v>122</v>
      </c>
      <c r="D62" s="7" t="e">
        <f>VLOOKUP(Tabla2[[#This Row],[Código country]],#REF!,4,0)</f>
        <v>#REF!</v>
      </c>
      <c r="E62" s="5">
        <v>191</v>
      </c>
      <c r="F62" s="7">
        <f>IFERROR(D62/IF(E62="",Configuración!$B$2,E62),0)</f>
        <v>0</v>
      </c>
      <c r="G62" s="5">
        <v>4</v>
      </c>
      <c r="H62" s="5">
        <v>30</v>
      </c>
      <c r="I62" s="5">
        <v>3</v>
      </c>
      <c r="J62" s="5">
        <v>3.5</v>
      </c>
      <c r="K62" s="5">
        <v>1</v>
      </c>
      <c r="L62" s="7">
        <f t="shared" si="1"/>
        <v>0</v>
      </c>
      <c r="M62" s="7">
        <f>MAX(0, F62*(IF(I62="",Configuración!$B$3,I62) + IF(J62="",Configuración!$B$4,J62)) - (G62+H62))</f>
        <v>0</v>
      </c>
      <c r="N62" s="5">
        <f>IF(IF(K62="",Configuración!$B$5,K62)&gt;0, CEILING(M62, IF(K62="",Configuración!$B$5,K62)), ROUNDUP(M62,0))</f>
        <v>0</v>
      </c>
      <c r="O62" s="5">
        <v>30</v>
      </c>
      <c r="P62" s="14" t="e">
        <f>VLOOKUP(Tabla2[[#This Row],[Código country]],#REF!,7,0)*Tabla2[[#This Row],[PEDIDO FINAL]]</f>
        <v>#REF!</v>
      </c>
    </row>
    <row r="63" spans="1:16" ht="18" hidden="1" x14ac:dyDescent="0.3">
      <c r="A63" s="5">
        <v>15531</v>
      </c>
      <c r="B63" s="5">
        <v>15531</v>
      </c>
      <c r="C63" s="5" t="s">
        <v>123</v>
      </c>
      <c r="D63" s="7" t="e">
        <f>VLOOKUP(Tabla2[[#This Row],[Código country]],#REF!,4,0)</f>
        <v>#REF!</v>
      </c>
      <c r="E63" s="5">
        <v>191</v>
      </c>
      <c r="F63" s="7">
        <f>IFERROR(D63/IF(E63="",Configuración!$B$2,E63),0)</f>
        <v>0</v>
      </c>
      <c r="G63" s="5" t="e">
        <f>VLOOKUP(Tabla2[[#This Row],[Código country]],#REF!,8,0)</f>
        <v>#REF!</v>
      </c>
      <c r="H63" s="5"/>
      <c r="I63" s="5">
        <v>7</v>
      </c>
      <c r="J63" s="5">
        <v>3.5</v>
      </c>
      <c r="K63" s="5">
        <v>50</v>
      </c>
      <c r="L63" s="7">
        <f t="shared" si="1"/>
        <v>0</v>
      </c>
      <c r="M63" s="7" t="e">
        <f>MAX(0, F63*(IF(I63="",Configuración!$B$3,I63) + IF(J63="",Configuración!$B$4,J63)) - (G63+H63))</f>
        <v>#REF!</v>
      </c>
      <c r="N63" s="5" t="e">
        <f>IF(IF(K63="",Configuración!$B$5,K63)&gt;0, CEILING(M63, IF(K63="",Configuración!$B$5,K63)), ROUNDUP(M63,0))</f>
        <v>#REF!</v>
      </c>
      <c r="O63" s="5"/>
      <c r="P63" s="14" t="e">
        <f>VLOOKUP(Tabla2[[#This Row],[Código country]],#REF!,7,0)*Tabla2[[#This Row],[PEDIDO FINAL]]</f>
        <v>#REF!</v>
      </c>
    </row>
    <row r="64" spans="1:16" ht="18" hidden="1" x14ac:dyDescent="0.3">
      <c r="A64" s="5">
        <v>14551</v>
      </c>
      <c r="B64" s="5">
        <v>14551</v>
      </c>
      <c r="C64" s="5" t="s">
        <v>124</v>
      </c>
      <c r="D64" s="7" t="e">
        <f>VLOOKUP(Tabla2[[#This Row],[Código country]],#REF!,4,0)</f>
        <v>#REF!</v>
      </c>
      <c r="E64" s="5">
        <v>191</v>
      </c>
      <c r="F64" s="7">
        <f>IFERROR(D64/IF(E64="",Configuración!$B$2,E64),0)</f>
        <v>0</v>
      </c>
      <c r="G64" s="5" t="e">
        <f>VLOOKUP(Tabla2[[#This Row],[Código country]],#REF!,8,0)</f>
        <v>#REF!</v>
      </c>
      <c r="H64" s="5"/>
      <c r="I64" s="5">
        <v>5</v>
      </c>
      <c r="J64" s="5">
        <v>3.5</v>
      </c>
      <c r="K64" s="5">
        <v>5</v>
      </c>
      <c r="L64" s="7">
        <f t="shared" si="1"/>
        <v>0</v>
      </c>
      <c r="M64" s="7" t="e">
        <f>MAX(0, F64*(IF(I64="",Configuración!$B$3,I64) + IF(J64="",Configuración!$B$4,J64)) - (G64+H64))</f>
        <v>#REF!</v>
      </c>
      <c r="N64" s="5" t="e">
        <f>IF(IF(K64="",Configuración!$B$5,K64)&gt;0, CEILING(M64, IF(K64="",Configuración!$B$5,K64)), ROUNDUP(M64,0))</f>
        <v>#REF!</v>
      </c>
      <c r="O64" s="5"/>
      <c r="P64" s="14" t="e">
        <f>VLOOKUP(Tabla2[[#This Row],[Código country]],#REF!,7,0)*Tabla2[[#This Row],[PEDIDO FINAL]]</f>
        <v>#REF!</v>
      </c>
    </row>
    <row r="65" spans="1:16" ht="18" hidden="1" x14ac:dyDescent="0.3">
      <c r="A65" s="5">
        <v>14561</v>
      </c>
      <c r="B65" s="5">
        <v>14561</v>
      </c>
      <c r="C65" s="5" t="s">
        <v>125</v>
      </c>
      <c r="D65" s="7" t="e">
        <f>VLOOKUP(Tabla2[[#This Row],[Código country]],#REF!,4,0)</f>
        <v>#REF!</v>
      </c>
      <c r="E65" s="5">
        <v>191</v>
      </c>
      <c r="F65" s="7">
        <f>IFERROR(D65/IF(E65="",Configuración!$B$2,E65),0)</f>
        <v>0</v>
      </c>
      <c r="G65" s="5" t="e">
        <f>VLOOKUP(Tabla2[[#This Row],[Código country]],#REF!,8,0)</f>
        <v>#REF!</v>
      </c>
      <c r="H65" s="5">
        <v>5</v>
      </c>
      <c r="I65" s="5">
        <v>3</v>
      </c>
      <c r="J65" s="5">
        <v>3.5</v>
      </c>
      <c r="K65" s="5">
        <v>5</v>
      </c>
      <c r="L65" s="7">
        <f t="shared" si="1"/>
        <v>0</v>
      </c>
      <c r="M65" s="7" t="e">
        <f>MAX(0, F65*(IF(I65="",Configuración!$B$3,I65) + IF(J65="",Configuración!$B$4,J65)) - (G65+H65))</f>
        <v>#REF!</v>
      </c>
      <c r="N65" s="5" t="e">
        <f>IF(IF(K65="",Configuración!$B$5,K65)&gt;0, CEILING(M65, IF(K65="",Configuración!$B$5,K65)), ROUNDUP(M65,0))</f>
        <v>#REF!</v>
      </c>
      <c r="O65" s="5"/>
      <c r="P65" s="14" t="e">
        <f>VLOOKUP(Tabla2[[#This Row],[Código country]],#REF!,7,0)*Tabla2[[#This Row],[PEDIDO FINAL]]</f>
        <v>#REF!</v>
      </c>
    </row>
    <row r="66" spans="1:16" ht="18" x14ac:dyDescent="0.3">
      <c r="A66" s="5">
        <v>14515</v>
      </c>
      <c r="B66" s="5">
        <v>14515</v>
      </c>
      <c r="C66" s="5" t="s">
        <v>126</v>
      </c>
      <c r="D66" s="7" t="e">
        <f>VLOOKUP(Tabla2[[#This Row],[Código country]],#REF!,4,0)</f>
        <v>#REF!</v>
      </c>
      <c r="E66" s="5">
        <v>191</v>
      </c>
      <c r="F66" s="7">
        <f>IFERROR(D66/IF(E66="",Configuración!$B$2,E66),0)</f>
        <v>0</v>
      </c>
      <c r="G66" s="5" t="e">
        <f>VLOOKUP(Tabla2[[#This Row],[Código country]],#REF!,8,0)</f>
        <v>#REF!</v>
      </c>
      <c r="H66" s="5">
        <v>120</v>
      </c>
      <c r="I66" s="5">
        <v>5</v>
      </c>
      <c r="J66" s="5">
        <v>3.5</v>
      </c>
      <c r="K66" s="5">
        <v>60</v>
      </c>
      <c r="L66" s="7">
        <f t="shared" ref="L66:L97" si="2">IFERROR((G66+H66+O66)/F66,0)</f>
        <v>0</v>
      </c>
      <c r="M66" s="7" t="e">
        <f>MAX(0, F66*(IF(I66="",Configuración!$B$3,I66) + IF(J66="",Configuración!$B$4,J66)) - (G66+H66))</f>
        <v>#REF!</v>
      </c>
      <c r="N66" s="5" t="e">
        <f>IF(IF(K66="",Configuración!$B$5,K66)&gt;0, CEILING(M66, IF(K66="",Configuración!$B$5,K66)), ROUNDUP(M66,0))</f>
        <v>#REF!</v>
      </c>
      <c r="O66" s="5">
        <v>120</v>
      </c>
      <c r="P66" s="14" t="e">
        <f>VLOOKUP(Tabla2[[#This Row],[Código country]],#REF!,7,0)*Tabla2[[#This Row],[PEDIDO FINAL]]</f>
        <v>#REF!</v>
      </c>
    </row>
    <row r="67" spans="1:16" ht="18" x14ac:dyDescent="0.3">
      <c r="A67" s="5">
        <v>16624</v>
      </c>
      <c r="B67" s="5">
        <v>16624</v>
      </c>
      <c r="C67" s="5" t="s">
        <v>127</v>
      </c>
      <c r="D67" s="7" t="e">
        <f>VLOOKUP(Tabla2[[#This Row],[Código country]],#REF!,4,0)</f>
        <v>#REF!</v>
      </c>
      <c r="E67" s="5">
        <v>191</v>
      </c>
      <c r="F67" s="7">
        <f>IFERROR(D67/IF(E67="",Configuración!$B$2,E67),0)</f>
        <v>0</v>
      </c>
      <c r="G67" s="5" t="e">
        <f>VLOOKUP(Tabla2[[#This Row],[Código country]],#REF!,8,0)</f>
        <v>#REF!</v>
      </c>
      <c r="H67" s="5">
        <v>6</v>
      </c>
      <c r="I67" s="5">
        <v>3</v>
      </c>
      <c r="J67" s="5">
        <v>3.5</v>
      </c>
      <c r="K67" s="5">
        <v>1</v>
      </c>
      <c r="L67" s="7">
        <f t="shared" si="2"/>
        <v>0</v>
      </c>
      <c r="M67" s="7" t="e">
        <f>MAX(0, F67*(IF(I67="",Configuración!$B$3,I67) + IF(J67="",Configuración!$B$4,J67)) - (G67+H67))</f>
        <v>#REF!</v>
      </c>
      <c r="N67" s="5" t="e">
        <f>IF(IF(K67="",Configuración!$B$5,K67)&gt;0, CEILING(M67, IF(K67="",Configuración!$B$5,K67)), ROUNDUP(M67,0))</f>
        <v>#REF!</v>
      </c>
      <c r="O67" s="5">
        <v>6</v>
      </c>
      <c r="P67" s="14" t="e">
        <f>VLOOKUP(Tabla2[[#This Row],[Código country]],#REF!,7,0)*Tabla2[[#This Row],[PEDIDO FINAL]]</f>
        <v>#REF!</v>
      </c>
    </row>
    <row r="68" spans="1:16" ht="18" x14ac:dyDescent="0.3">
      <c r="A68" s="5" t="s">
        <v>28</v>
      </c>
      <c r="B68" s="5" t="s">
        <v>28</v>
      </c>
      <c r="C68" s="5" t="s">
        <v>128</v>
      </c>
      <c r="D68" s="7" t="e">
        <f>VLOOKUP(Tabla2[[#This Row],[Código country]],#REF!,4,0)</f>
        <v>#REF!</v>
      </c>
      <c r="E68" s="5">
        <v>191</v>
      </c>
      <c r="F68" s="7">
        <f>IFERROR(D68/IF(E68="",Configuración!$B$2,E68),0)</f>
        <v>0</v>
      </c>
      <c r="G68" s="5" t="e">
        <f>VLOOKUP(Tabla2[[#This Row],[Código country]],#REF!,8,0)</f>
        <v>#REF!</v>
      </c>
      <c r="H68" s="5"/>
      <c r="I68" s="5">
        <v>3</v>
      </c>
      <c r="J68" s="5">
        <v>3.5</v>
      </c>
      <c r="K68" s="5">
        <v>5</v>
      </c>
      <c r="L68" s="7">
        <f t="shared" si="2"/>
        <v>0</v>
      </c>
      <c r="M68" s="7" t="e">
        <f>MAX(0, F68*(IF(I68="",Configuración!$B$3,I68) + IF(J68="",Configuración!$B$4,J68)) - (G68+H68))</f>
        <v>#REF!</v>
      </c>
      <c r="N68" s="5" t="e">
        <f>IF(IF(K68="",Configuración!$B$5,K68)&gt;0, CEILING(M68, IF(K68="",Configuración!$B$5,K68)), ROUNDUP(M68,0))</f>
        <v>#REF!</v>
      </c>
      <c r="O68" s="5">
        <v>4</v>
      </c>
      <c r="P68" s="14" t="e">
        <f>VLOOKUP(Tabla2[[#This Row],[Código country]],#REF!,7,0)*Tabla2[[#This Row],[PEDIDO FINAL]]</f>
        <v>#REF!</v>
      </c>
    </row>
    <row r="69" spans="1:16" ht="18" x14ac:dyDescent="0.3">
      <c r="A69" s="5" t="s">
        <v>56</v>
      </c>
      <c r="B69" s="5">
        <v>13584</v>
      </c>
      <c r="C69" s="5" t="s">
        <v>129</v>
      </c>
      <c r="D69" s="7" t="e">
        <f>VLOOKUP(Tabla2[[#This Row],[Código country]],#REF!,4,0)</f>
        <v>#REF!</v>
      </c>
      <c r="E69" s="5">
        <v>191</v>
      </c>
      <c r="F69" s="7">
        <f>IFERROR(D69/IF(E69="",Configuración!$B$2,E69),0)</f>
        <v>0</v>
      </c>
      <c r="G69" s="5" t="e">
        <f>VLOOKUP(Tabla2[[#This Row],[Código country]],#REF!,8,0)</f>
        <v>#REF!</v>
      </c>
      <c r="H69" s="5"/>
      <c r="I69" s="5">
        <v>3</v>
      </c>
      <c r="J69" s="5">
        <v>3.5</v>
      </c>
      <c r="K69" s="5">
        <v>1</v>
      </c>
      <c r="L69" s="7">
        <f t="shared" si="2"/>
        <v>0</v>
      </c>
      <c r="M69" s="7" t="e">
        <f>MAX(0, F69*(IF(I69="",Configuración!$B$3,I69) + IF(J69="",Configuración!$B$4,J69)) - (G69+H69))</f>
        <v>#REF!</v>
      </c>
      <c r="N69" s="5" t="e">
        <f>IF(IF(K69="",Configuración!$B$5,K69)&gt;0, CEILING(M69, IF(K69="",Configuración!$B$5,K69)), ROUNDUP(M69,0))</f>
        <v>#REF!</v>
      </c>
      <c r="O69" s="5">
        <v>12</v>
      </c>
      <c r="P69" s="14" t="e">
        <f>VLOOKUP(Tabla2[[#This Row],[Código country]],#REF!,7,0)*Tabla2[[#This Row],[PEDIDO FINAL]]</f>
        <v>#REF!</v>
      </c>
    </row>
    <row r="70" spans="1:16" ht="18" x14ac:dyDescent="0.3">
      <c r="A70" s="5">
        <v>5533</v>
      </c>
      <c r="B70" s="5">
        <v>5533</v>
      </c>
      <c r="C70" s="5" t="s">
        <v>130</v>
      </c>
      <c r="D70" s="7" t="e">
        <f>VLOOKUP(Tabla2[[#This Row],[Código country]],#REF!,4,0)</f>
        <v>#REF!</v>
      </c>
      <c r="E70" s="5">
        <v>191</v>
      </c>
      <c r="F70" s="7">
        <f>IFERROR(D70/IF(E70="",Configuración!$B$2,E70),0)</f>
        <v>0</v>
      </c>
      <c r="G70" s="5" t="e">
        <f>VLOOKUP(Tabla2[[#This Row],[Código country]],#REF!,8,0)</f>
        <v>#REF!</v>
      </c>
      <c r="H70" s="5">
        <v>4</v>
      </c>
      <c r="I70" s="5">
        <v>3</v>
      </c>
      <c r="J70" s="5">
        <v>3.5</v>
      </c>
      <c r="K70" s="5">
        <v>1</v>
      </c>
      <c r="L70" s="7">
        <f t="shared" si="2"/>
        <v>0</v>
      </c>
      <c r="M70" s="7" t="e">
        <f>MAX(0, F70*(IF(I70="",Configuración!$B$3,I70) + IF(J70="",Configuración!$B$4,J70)) - (G70+H70))</f>
        <v>#REF!</v>
      </c>
      <c r="N70" s="5" t="e">
        <f>IF(IF(K70="",Configuración!$B$5,K70)&gt;0, CEILING(M70, IF(K70="",Configuración!$B$5,K70)), ROUNDUP(M70,0))</f>
        <v>#REF!</v>
      </c>
      <c r="O70" s="5">
        <v>4</v>
      </c>
      <c r="P70" s="14" t="e">
        <f>VLOOKUP(Tabla2[[#This Row],[Código country]],#REF!,7,0)*Tabla2[[#This Row],[PEDIDO FINAL]]</f>
        <v>#REF!</v>
      </c>
    </row>
    <row r="71" spans="1:16" ht="18" hidden="1" x14ac:dyDescent="0.3">
      <c r="A71" s="5">
        <v>5536</v>
      </c>
      <c r="B71" s="5">
        <v>5536</v>
      </c>
      <c r="C71" s="5" t="s">
        <v>39</v>
      </c>
      <c r="D71" s="7" t="e">
        <f>VLOOKUP(Tabla2[[#This Row],[Código country]],#REF!,4,0)</f>
        <v>#REF!</v>
      </c>
      <c r="E71" s="5">
        <v>191</v>
      </c>
      <c r="F71" s="7">
        <f>IFERROR(D71/IF(E71="",Configuración!$B$2,E71),0)</f>
        <v>0</v>
      </c>
      <c r="G71" s="5" t="e">
        <f>VLOOKUP(Tabla2[[#This Row],[Código country]],#REF!,8,0)</f>
        <v>#REF!</v>
      </c>
      <c r="H71" s="5"/>
      <c r="I71" s="5">
        <v>3</v>
      </c>
      <c r="J71" s="5">
        <v>3.5</v>
      </c>
      <c r="K71" s="5">
        <v>1</v>
      </c>
      <c r="L71" s="7">
        <f t="shared" si="2"/>
        <v>0</v>
      </c>
      <c r="M71" s="7" t="e">
        <f>MAX(0, F71*(IF(I71="",Configuración!$B$3,I71) + IF(J71="",Configuración!$B$4,J71)) - (G71+H71))</f>
        <v>#REF!</v>
      </c>
      <c r="N71" s="5" t="e">
        <f>IF(IF(K71="",Configuración!$B$5,K71)&gt;0, CEILING(M71, IF(K71="",Configuración!$B$5,K71)), ROUNDUP(M71,0))</f>
        <v>#REF!</v>
      </c>
      <c r="O71" s="5"/>
      <c r="P71" s="14" t="e">
        <f>VLOOKUP(Tabla2[[#This Row],[Código country]],#REF!,7,0)*Tabla2[[#This Row],[PEDIDO FINAL]]</f>
        <v>#REF!</v>
      </c>
    </row>
    <row r="72" spans="1:16" ht="18" hidden="1" x14ac:dyDescent="0.3">
      <c r="A72" s="5">
        <v>5535</v>
      </c>
      <c r="B72" s="5">
        <v>5535</v>
      </c>
      <c r="C72" s="5" t="s">
        <v>68</v>
      </c>
      <c r="D72" s="7" t="e">
        <f>VLOOKUP(Tabla2[[#This Row],[Código country]],#REF!,4,0)</f>
        <v>#REF!</v>
      </c>
      <c r="E72" s="5">
        <v>191</v>
      </c>
      <c r="F72" s="7">
        <f>IFERROR(D72/IF(E72="",Configuración!$B$2,E72),0)</f>
        <v>0</v>
      </c>
      <c r="G72" s="5" t="e">
        <f>VLOOKUP(Tabla2[[#This Row],[Código country]],#REF!,8,0)</f>
        <v>#REF!</v>
      </c>
      <c r="H72" s="5"/>
      <c r="I72" s="5">
        <v>3</v>
      </c>
      <c r="J72" s="5">
        <v>3.5</v>
      </c>
      <c r="K72" s="5">
        <v>1</v>
      </c>
      <c r="L72" s="7">
        <f t="shared" si="2"/>
        <v>0</v>
      </c>
      <c r="M72" s="7" t="e">
        <f>MAX(0, F72*(IF(I72="",Configuración!$B$3,I72) + IF(J72="",Configuración!$B$4,J72)) - (G72+H72))</f>
        <v>#REF!</v>
      </c>
      <c r="N72" s="5" t="e">
        <f>IF(IF(K72="",Configuración!$B$5,K72)&gt;0, CEILING(M72, IF(K72="",Configuración!$B$5,K72)), ROUNDUP(M72,0))</f>
        <v>#REF!</v>
      </c>
      <c r="O72" s="5"/>
      <c r="P72" s="14" t="e">
        <f>VLOOKUP(Tabla2[[#This Row],[Código country]],#REF!,7,0)*Tabla2[[#This Row],[PEDIDO FINAL]]</f>
        <v>#REF!</v>
      </c>
    </row>
    <row r="73" spans="1:16" ht="18" x14ac:dyDescent="0.3">
      <c r="A73" s="5">
        <v>5538</v>
      </c>
      <c r="B73" s="5">
        <v>5538</v>
      </c>
      <c r="C73" s="18" t="s">
        <v>131</v>
      </c>
      <c r="D73" s="7" t="e">
        <f>VLOOKUP(Tabla2[[#This Row],[Código country]],#REF!,4,0)</f>
        <v>#REF!</v>
      </c>
      <c r="E73" s="5">
        <v>191</v>
      </c>
      <c r="F73" s="7">
        <f>IFERROR(D73/IF(E73="",Configuración!$B$2,E73),0)</f>
        <v>0</v>
      </c>
      <c r="G73" s="5" t="e">
        <f>VLOOKUP(Tabla2[[#This Row],[Código country]],#REF!,8,0)</f>
        <v>#REF!</v>
      </c>
      <c r="H73" s="5">
        <v>4</v>
      </c>
      <c r="I73" s="5">
        <v>3</v>
      </c>
      <c r="J73" s="5">
        <v>3.5</v>
      </c>
      <c r="K73" s="5">
        <v>1</v>
      </c>
      <c r="L73" s="7">
        <f t="shared" si="2"/>
        <v>0</v>
      </c>
      <c r="M73" s="7" t="e">
        <f>MAX(0, F73*(IF(I73="",Configuración!$B$3,I73) + IF(J73="",Configuración!$B$4,J73)) - (G73+H73))</f>
        <v>#REF!</v>
      </c>
      <c r="N73" s="5" t="e">
        <f>IF(IF(K73="",Configuración!$B$5,K73)&gt;0, CEILING(M73, IF(K73="",Configuración!$B$5,K73)), ROUNDUP(M73,0))</f>
        <v>#REF!</v>
      </c>
      <c r="O73" s="5">
        <v>4</v>
      </c>
      <c r="P73" s="14" t="e">
        <f>VLOOKUP(Tabla2[[#This Row],[Código country]],#REF!,7,0)*Tabla2[[#This Row],[PEDIDO FINAL]]</f>
        <v>#REF!</v>
      </c>
    </row>
    <row r="74" spans="1:16" ht="18" x14ac:dyDescent="0.3">
      <c r="A74" s="5">
        <v>13513</v>
      </c>
      <c r="B74" s="5">
        <v>13513</v>
      </c>
      <c r="C74" s="5" t="s">
        <v>132</v>
      </c>
      <c r="D74" s="7" t="e">
        <f>VLOOKUP(Tabla2[[#This Row],[Código country]],#REF!,4,0)</f>
        <v>#REF!</v>
      </c>
      <c r="E74" s="5">
        <v>191</v>
      </c>
      <c r="F74" s="7">
        <f>IFERROR(D74/IF(E74="",Configuración!$B$2,E74),0)</f>
        <v>0</v>
      </c>
      <c r="G74" s="5" t="e">
        <f>VLOOKUP(Tabla2[[#This Row],[Código country]],#REF!,8,0)</f>
        <v>#REF!</v>
      </c>
      <c r="H74" s="5"/>
      <c r="I74" s="5">
        <v>3</v>
      </c>
      <c r="J74" s="5">
        <v>3.5</v>
      </c>
      <c r="K74" s="5">
        <v>2</v>
      </c>
      <c r="L74" s="7">
        <f t="shared" si="2"/>
        <v>0</v>
      </c>
      <c r="M74" s="7" t="e">
        <f>MAX(0, F74*(IF(I74="",Configuración!$B$3,I74) + IF(J74="",Configuración!$B$4,J74)) - (G74+H74))</f>
        <v>#REF!</v>
      </c>
      <c r="N74" s="5" t="e">
        <f>IF(IF(K74="",Configuración!$B$5,K74)&gt;0, CEILING(M74, IF(K74="",Configuración!$B$5,K74)), ROUNDUP(M74,0))</f>
        <v>#REF!</v>
      </c>
      <c r="O74" s="5">
        <v>5</v>
      </c>
      <c r="P74" s="14" t="e">
        <f>VLOOKUP(Tabla2[[#This Row],[Código country]],#REF!,7,0)*Tabla2[[#This Row],[PEDIDO FINAL]]</f>
        <v>#REF!</v>
      </c>
    </row>
    <row r="75" spans="1:16" ht="18" x14ac:dyDescent="0.3">
      <c r="A75" s="5">
        <v>125972</v>
      </c>
      <c r="B75" s="5">
        <v>125972</v>
      </c>
      <c r="C75" s="5" t="s">
        <v>133</v>
      </c>
      <c r="D75" s="7" t="e">
        <f>VLOOKUP(Tabla2[[#This Row],[Código country]],#REF!,4,0)</f>
        <v>#REF!</v>
      </c>
      <c r="E75" s="5">
        <v>191</v>
      </c>
      <c r="F75" s="7">
        <f>IFERROR(D75/IF(E75="",Configuración!$B$2,E75),0)</f>
        <v>0</v>
      </c>
      <c r="G75" s="5" t="e">
        <f>VLOOKUP(Tabla2[[#This Row],[Código country]],#REF!,8,0)</f>
        <v>#REF!</v>
      </c>
      <c r="H75" s="5">
        <v>4</v>
      </c>
      <c r="I75" s="5">
        <v>3</v>
      </c>
      <c r="J75" s="5">
        <v>3.5</v>
      </c>
      <c r="K75" s="5">
        <v>1</v>
      </c>
      <c r="L75" s="7">
        <f t="shared" si="2"/>
        <v>0</v>
      </c>
      <c r="M75" s="7" t="e">
        <f>MAX(0, F75*(IF(I75="",Configuración!$B$3,I75) + IF(J75="",Configuración!$B$4,J75)) - (G75+H75))</f>
        <v>#REF!</v>
      </c>
      <c r="N75" s="5" t="e">
        <f>IF(IF(K75="",Configuración!$B$5,K75)&gt;0, CEILING(M75, IF(K75="",Configuración!$B$5,K75)), ROUNDUP(M75,0))</f>
        <v>#REF!</v>
      </c>
      <c r="O75" s="5">
        <v>4</v>
      </c>
      <c r="P75" s="14" t="e">
        <f>VLOOKUP(Tabla2[[#This Row],[Código country]],#REF!,7,0)*Tabla2[[#This Row],[PEDIDO FINAL]]</f>
        <v>#REF!</v>
      </c>
    </row>
    <row r="76" spans="1:16" ht="18" hidden="1" x14ac:dyDescent="0.3">
      <c r="A76" s="5">
        <v>5341</v>
      </c>
      <c r="B76" s="5">
        <v>5341</v>
      </c>
      <c r="C76" s="5" t="s">
        <v>134</v>
      </c>
      <c r="D76" s="7" t="e">
        <f>VLOOKUP(Tabla2[[#This Row],[Código country]],#REF!,4,0)</f>
        <v>#REF!</v>
      </c>
      <c r="E76" s="5">
        <v>191</v>
      </c>
      <c r="F76" s="7">
        <f>IFERROR(D76/IF(E76="",Configuración!$B$2,E76),0)</f>
        <v>0</v>
      </c>
      <c r="G76" s="5" t="e">
        <f>VLOOKUP(Tabla2[[#This Row],[Código country]],#REF!,8,0)</f>
        <v>#REF!</v>
      </c>
      <c r="H76" s="5"/>
      <c r="I76" s="5">
        <v>3</v>
      </c>
      <c r="J76" s="5">
        <v>3.5</v>
      </c>
      <c r="K76" s="5">
        <v>1</v>
      </c>
      <c r="L76" s="7">
        <f t="shared" si="2"/>
        <v>0</v>
      </c>
      <c r="M76" s="7" t="e">
        <f>MAX(0, F76*(IF(I76="",Configuración!$B$3,I76) + IF(J76="",Configuración!$B$4,J76)) - (G76+H76))</f>
        <v>#REF!</v>
      </c>
      <c r="N76" s="5" t="e">
        <f>IF(IF(K76="",Configuración!$B$5,K76)&gt;0, CEILING(M76, IF(K76="",Configuración!$B$5,K76)), ROUNDUP(M76,0))</f>
        <v>#REF!</v>
      </c>
      <c r="O76" s="5"/>
      <c r="P76" s="14" t="e">
        <f>VLOOKUP(Tabla2[[#This Row],[Código country]],#REF!,7,0)*Tabla2[[#This Row],[PEDIDO FINAL]]</f>
        <v>#REF!</v>
      </c>
    </row>
    <row r="77" spans="1:16" ht="18" x14ac:dyDescent="0.3">
      <c r="A77" s="5">
        <v>115412</v>
      </c>
      <c r="B77" s="5">
        <v>115412</v>
      </c>
      <c r="C77" s="5" t="s">
        <v>135</v>
      </c>
      <c r="D77" s="7" t="e">
        <f>VLOOKUP(Tabla2[[#This Row],[Código country]],#REF!,4,0)</f>
        <v>#REF!</v>
      </c>
      <c r="E77" s="5">
        <v>191</v>
      </c>
      <c r="F77" s="7">
        <f>IFERROR(D77/IF(E77="",Configuración!$B$2,E77),0)</f>
        <v>0</v>
      </c>
      <c r="G77" s="5" t="e">
        <f>VLOOKUP(Tabla2[[#This Row],[Código country]],#REF!,8,0)</f>
        <v>#REF!</v>
      </c>
      <c r="H77" s="5">
        <v>60</v>
      </c>
      <c r="I77" s="5">
        <v>4</v>
      </c>
      <c r="J77" s="5">
        <v>3.5</v>
      </c>
      <c r="K77" s="5">
        <v>4</v>
      </c>
      <c r="L77" s="19">
        <f t="shared" si="2"/>
        <v>0</v>
      </c>
      <c r="M77" s="7" t="e">
        <f>MAX(0, F77*(IF(I77="",Configuración!$B$3,I77) + IF(J77="",Configuración!$B$4,J77)) - (G77+H77))</f>
        <v>#REF!</v>
      </c>
      <c r="N77" s="5" t="e">
        <f>IF(IF(K77="",Configuración!$B$5,K77)&gt;0, CEILING(M77, IF(K77="",Configuración!$B$5,K77)), ROUNDUP(M77,0))</f>
        <v>#REF!</v>
      </c>
      <c r="O77" s="5">
        <v>40</v>
      </c>
      <c r="P77" s="14" t="e">
        <f>VLOOKUP(Tabla2[[#This Row],[Código country]],#REF!,7,0)*Tabla2[[#This Row],[PEDIDO FINAL]]</f>
        <v>#REF!</v>
      </c>
    </row>
    <row r="78" spans="1:16" ht="18" hidden="1" x14ac:dyDescent="0.3">
      <c r="A78" s="5">
        <v>11541</v>
      </c>
      <c r="B78" s="8">
        <v>11541</v>
      </c>
      <c r="C78" s="5" t="s">
        <v>136</v>
      </c>
      <c r="D78" s="7" t="e">
        <f>VLOOKUP(Tabla2[[#This Row],[Código country]],#REF!,4,0)</f>
        <v>#REF!</v>
      </c>
      <c r="E78" s="5">
        <v>191</v>
      </c>
      <c r="F78" s="7">
        <f>IFERROR(D78/IF(E78="",Configuración!$B$2,E78),0)</f>
        <v>0</v>
      </c>
      <c r="G78" s="5" t="e">
        <f>VLOOKUP(Tabla2[[#This Row],[Código country]],#REF!,8,0)</f>
        <v>#REF!</v>
      </c>
      <c r="H78" s="5"/>
      <c r="I78" s="5">
        <v>4</v>
      </c>
      <c r="J78" s="5">
        <v>3.5</v>
      </c>
      <c r="K78" s="5">
        <v>1</v>
      </c>
      <c r="L78" s="7">
        <f t="shared" si="2"/>
        <v>0</v>
      </c>
      <c r="M78" s="7" t="e">
        <f>MAX(0, F78*(IF(I78="",Configuración!$B$3,I78) + IF(J78="",Configuración!$B$4,J78)) - (G78+H78))</f>
        <v>#REF!</v>
      </c>
      <c r="N78" s="5" t="e">
        <f>IF(IF(K78="",Configuración!$B$5,K78)&gt;0, CEILING(M78, IF(K78="",Configuración!$B$5,K78)), ROUNDUP(M78,0))</f>
        <v>#REF!</v>
      </c>
      <c r="O78" s="5"/>
      <c r="P78" s="14" t="e">
        <f>VLOOKUP(Tabla2[[#This Row],[Código country]],#REF!,7,0)*Tabla2[[#This Row],[PEDIDO FINAL]]</f>
        <v>#REF!</v>
      </c>
    </row>
    <row r="79" spans="1:16" ht="18" hidden="1" x14ac:dyDescent="0.3">
      <c r="A79" s="5">
        <v>11580</v>
      </c>
      <c r="B79" s="5">
        <v>11580</v>
      </c>
      <c r="C79" s="5" t="s">
        <v>137</v>
      </c>
      <c r="D79" s="7" t="e">
        <f>VLOOKUP(Tabla2[[#This Row],[Código country]],#REF!,4,0)</f>
        <v>#REF!</v>
      </c>
      <c r="E79" s="5">
        <v>191</v>
      </c>
      <c r="F79" s="7">
        <f>IFERROR(D79/IF(E79="",Configuración!$B$2,E79),0)</f>
        <v>0</v>
      </c>
      <c r="G79" s="5" t="e">
        <f>VLOOKUP(Tabla2[[#This Row],[Código country]],#REF!,8,0)</f>
        <v>#REF!</v>
      </c>
      <c r="H79" s="5"/>
      <c r="I79" s="5">
        <v>4</v>
      </c>
      <c r="J79" s="5">
        <v>3.5</v>
      </c>
      <c r="K79" s="5">
        <v>6</v>
      </c>
      <c r="L79" s="7">
        <f t="shared" si="2"/>
        <v>0</v>
      </c>
      <c r="M79" s="7" t="e">
        <f>MAX(0, F79*(IF(I79="",Configuración!$B$3,I79) + IF(J79="",Configuración!$B$4,J79)) - (G79+H79))</f>
        <v>#REF!</v>
      </c>
      <c r="N79" s="5" t="e">
        <f>IF(IF(K79="",Configuración!$B$5,K79)&gt;0, CEILING(M79, IF(K79="",Configuración!$B$5,K79)), ROUNDUP(M79,0))</f>
        <v>#REF!</v>
      </c>
      <c r="O79" s="5"/>
      <c r="P79" s="14" t="e">
        <f>VLOOKUP(Tabla2[[#This Row],[Código country]],#REF!,7,0)*Tabla2[[#This Row],[PEDIDO FINAL]]</f>
        <v>#REF!</v>
      </c>
    </row>
    <row r="80" spans="1:16" ht="18" hidden="1" x14ac:dyDescent="0.3">
      <c r="A80" s="5">
        <v>11590</v>
      </c>
      <c r="B80" s="5">
        <v>11590</v>
      </c>
      <c r="C80" s="18" t="s">
        <v>40</v>
      </c>
      <c r="D80" s="7" t="e">
        <f>VLOOKUP(Tabla2[[#This Row],[Código country]],#REF!,4,0)</f>
        <v>#REF!</v>
      </c>
      <c r="E80" s="5">
        <v>191</v>
      </c>
      <c r="F80" s="7">
        <f>IFERROR(D80/IF(E80="",Configuración!$B$2,E80),0)</f>
        <v>0</v>
      </c>
      <c r="G80" s="5" t="e">
        <f>VLOOKUP(Tabla2[[#This Row],[Código country]],#REF!,8,0)</f>
        <v>#REF!</v>
      </c>
      <c r="H80" s="5">
        <v>10</v>
      </c>
      <c r="I80" s="5">
        <v>4</v>
      </c>
      <c r="J80" s="5">
        <v>3.5</v>
      </c>
      <c r="K80" s="5">
        <v>10</v>
      </c>
      <c r="L80" s="7">
        <f t="shared" si="2"/>
        <v>0</v>
      </c>
      <c r="M80" s="7" t="e">
        <f>MAX(0, F80*(IF(I80="",Configuración!$B$3,I80) + IF(J80="",Configuración!$B$4,J80)) - (G80+H80))</f>
        <v>#REF!</v>
      </c>
      <c r="N80" s="5" t="e">
        <f>IF(IF(K80="",Configuración!$B$5,K80)&gt;0, CEILING(M80, IF(K80="",Configuración!$B$5,K80)), ROUNDUP(M80,0))</f>
        <v>#REF!</v>
      </c>
      <c r="O80" s="5"/>
      <c r="P80" s="14" t="e">
        <f>VLOOKUP(Tabla2[[#This Row],[Código country]],#REF!,7,0)*Tabla2[[#This Row],[PEDIDO FINAL]]</f>
        <v>#REF!</v>
      </c>
    </row>
    <row r="81" spans="1:16" ht="18" x14ac:dyDescent="0.3">
      <c r="A81" s="5">
        <v>11548</v>
      </c>
      <c r="B81" s="5">
        <v>11548</v>
      </c>
      <c r="C81" s="5" t="s">
        <v>41</v>
      </c>
      <c r="D81" s="7" t="e">
        <f>VLOOKUP(Tabla2[[#This Row],[Código country]],#REF!,4,0)</f>
        <v>#REF!</v>
      </c>
      <c r="E81" s="5">
        <v>191</v>
      </c>
      <c r="F81" s="7">
        <f>IFERROR(D81/IF(E81="",Configuración!$B$2,E81),0)</f>
        <v>0</v>
      </c>
      <c r="G81" s="5" t="e">
        <f>VLOOKUP(Tabla2[[#This Row],[Código country]],#REF!,8,0)</f>
        <v>#REF!</v>
      </c>
      <c r="H81" s="5">
        <v>6</v>
      </c>
      <c r="I81" s="5">
        <v>4</v>
      </c>
      <c r="J81" s="5">
        <v>3.5</v>
      </c>
      <c r="K81" s="5">
        <v>6</v>
      </c>
      <c r="L81" s="7">
        <f t="shared" si="2"/>
        <v>0</v>
      </c>
      <c r="M81" s="7" t="e">
        <f>MAX(0, F81*(IF(I81="",Configuración!$B$3,I81) + IF(J81="",Configuración!$B$4,J81)) - (G81+H81))</f>
        <v>#REF!</v>
      </c>
      <c r="N81" s="5" t="e">
        <f>IF(IF(K81="",Configuración!$B$5,K81)&gt;0, CEILING(M81, IF(K81="",Configuración!$B$5,K81)), ROUNDUP(M81,0))</f>
        <v>#REF!</v>
      </c>
      <c r="O81" s="5">
        <v>6</v>
      </c>
      <c r="P81" s="14" t="e">
        <f>VLOOKUP(Tabla2[[#This Row],[Código country]],#REF!,7,0)*Tabla2[[#This Row],[PEDIDO FINAL]]</f>
        <v>#REF!</v>
      </c>
    </row>
    <row r="82" spans="1:16" ht="18" x14ac:dyDescent="0.3">
      <c r="A82" s="5">
        <v>11547</v>
      </c>
      <c r="B82" s="5">
        <v>11547</v>
      </c>
      <c r="C82" s="5" t="s">
        <v>42</v>
      </c>
      <c r="D82" s="7" t="e">
        <f>VLOOKUP(Tabla2[[#This Row],[Código country]],#REF!,4,0)</f>
        <v>#REF!</v>
      </c>
      <c r="E82" s="5">
        <v>191</v>
      </c>
      <c r="F82" s="7">
        <f>IFERROR(D82/IF(E82="",Configuración!$B$2,E82),0)</f>
        <v>0</v>
      </c>
      <c r="G82" s="5" t="e">
        <f>VLOOKUP(Tabla2[[#This Row],[Código country]],#REF!,8,0)</f>
        <v>#REF!</v>
      </c>
      <c r="H82" s="5">
        <v>12</v>
      </c>
      <c r="I82" s="5">
        <v>4</v>
      </c>
      <c r="J82" s="5">
        <v>3.5</v>
      </c>
      <c r="K82" s="5">
        <v>6</v>
      </c>
      <c r="L82" s="7">
        <f t="shared" si="2"/>
        <v>0</v>
      </c>
      <c r="M82" s="7" t="e">
        <f>MAX(0, F82*(IF(I82="",Configuración!$B$3,I82) + IF(J82="",Configuración!$B$4,J82)) - (G82+H82))</f>
        <v>#REF!</v>
      </c>
      <c r="N82" s="5" t="e">
        <f>IF(IF(K82="",Configuración!$B$5,K82)&gt;0, CEILING(M82, IF(K82="",Configuración!$B$5,K82)), ROUNDUP(M82,0))</f>
        <v>#REF!</v>
      </c>
      <c r="O82" s="5">
        <v>6</v>
      </c>
      <c r="P82" s="14" t="e">
        <f>VLOOKUP(Tabla2[[#This Row],[Código country]],#REF!,7,0)*Tabla2[[#This Row],[PEDIDO FINAL]]</f>
        <v>#REF!</v>
      </c>
    </row>
    <row r="83" spans="1:16" ht="18" hidden="1" x14ac:dyDescent="0.3">
      <c r="A83" s="5">
        <v>11540</v>
      </c>
      <c r="B83" s="5">
        <v>11540</v>
      </c>
      <c r="C83" s="18" t="s">
        <v>200</v>
      </c>
      <c r="D83" s="7" t="e">
        <f>VLOOKUP(Tabla2[[#This Row],[Código country]],#REF!,4,0)</f>
        <v>#REF!</v>
      </c>
      <c r="E83" s="5">
        <v>191</v>
      </c>
      <c r="F83" s="7">
        <f>IFERROR(D83/IF(E83="",Configuración!$B$2,E83),0)</f>
        <v>0</v>
      </c>
      <c r="G83" s="5" t="e">
        <f>VLOOKUP(Tabla2[[#This Row],[Código country]],#REF!,8,0)</f>
        <v>#REF!</v>
      </c>
      <c r="H83" s="5"/>
      <c r="I83" s="5">
        <v>4</v>
      </c>
      <c r="J83" s="5">
        <v>3.5</v>
      </c>
      <c r="K83" s="5">
        <v>1</v>
      </c>
      <c r="L83" s="7">
        <f t="shared" si="2"/>
        <v>0</v>
      </c>
      <c r="M83" s="7" t="e">
        <f>MAX(0, F83*(IF(I83="",Configuración!$B$3,I83) + IF(J83="",Configuración!$B$4,J83)) - (G83+H83))</f>
        <v>#REF!</v>
      </c>
      <c r="N83" s="5" t="e">
        <f>IF(IF(K83="",Configuración!$B$5,K83)&gt;0, CEILING(M83, IF(K83="",Configuración!$B$5,K83)), ROUNDUP(M83,0))</f>
        <v>#REF!</v>
      </c>
      <c r="O83" s="5"/>
      <c r="P83" s="14" t="e">
        <f>VLOOKUP(Tabla2[[#This Row],[Código country]],#REF!,7,0)*Tabla2[[#This Row],[PEDIDO FINAL]]</f>
        <v>#REF!</v>
      </c>
    </row>
    <row r="84" spans="1:16" ht="18" hidden="1" x14ac:dyDescent="0.3">
      <c r="A84" s="5">
        <v>14585</v>
      </c>
      <c r="B84" s="5">
        <v>14585</v>
      </c>
      <c r="C84" s="5" t="s">
        <v>43</v>
      </c>
      <c r="D84" s="7" t="e">
        <f>VLOOKUP(Tabla2[[#This Row],[Código country]],#REF!,4,0)</f>
        <v>#REF!</v>
      </c>
      <c r="E84" s="5">
        <v>191</v>
      </c>
      <c r="F84" s="7">
        <f>IFERROR(D84/IF(E84="",Configuración!$B$2,E84),0)</f>
        <v>0</v>
      </c>
      <c r="G84" s="5" t="e">
        <f>VLOOKUP(Tabla2[[#This Row],[Código country]],#REF!,8,0)</f>
        <v>#REF!</v>
      </c>
      <c r="H84" s="5"/>
      <c r="I84" s="5">
        <v>5</v>
      </c>
      <c r="J84" s="5">
        <v>3.5</v>
      </c>
      <c r="K84" s="5">
        <v>125</v>
      </c>
      <c r="L84" s="7">
        <f t="shared" si="2"/>
        <v>0</v>
      </c>
      <c r="M84" s="7" t="e">
        <f>MAX(0, F84*(IF(I84="",Configuración!$B$3,I84) + IF(J84="",Configuración!$B$4,J84)) - (G84+H84))</f>
        <v>#REF!</v>
      </c>
      <c r="N84" s="5" t="e">
        <f>IF(IF(K84="",Configuración!$B$5,K84)&gt;0, CEILING(M84, IF(K84="",Configuración!$B$5,K84)), ROUNDUP(M84,0))</f>
        <v>#REF!</v>
      </c>
      <c r="O84" s="5"/>
      <c r="P84" s="14" t="e">
        <f>VLOOKUP(Tabla2[[#This Row],[Código country]],#REF!,7,0)*Tabla2[[#This Row],[PEDIDO FINAL]]</f>
        <v>#REF!</v>
      </c>
    </row>
    <row r="85" spans="1:16" ht="18" x14ac:dyDescent="0.3">
      <c r="A85" s="5" t="s">
        <v>44</v>
      </c>
      <c r="B85" s="5">
        <v>14587</v>
      </c>
      <c r="C85" s="5" t="s">
        <v>203</v>
      </c>
      <c r="D85" s="7" t="e">
        <f>VLOOKUP(Tabla2[[#This Row],[Código country]],#REF!,4,0)</f>
        <v>#REF!</v>
      </c>
      <c r="E85" s="5">
        <v>191</v>
      </c>
      <c r="F85" s="7">
        <f>IFERROR(D85/IF(E85="",Configuración!$B$2,E85),0)</f>
        <v>0</v>
      </c>
      <c r="G85" s="5" t="e">
        <f>VLOOKUP(Tabla2[[#This Row],[Código country]],#REF!,8,0)</f>
        <v>#REF!</v>
      </c>
      <c r="H85" s="5">
        <v>40</v>
      </c>
      <c r="I85" s="5">
        <v>5</v>
      </c>
      <c r="J85" s="5">
        <v>3.5</v>
      </c>
      <c r="K85" s="5">
        <v>10</v>
      </c>
      <c r="L85" s="7">
        <f t="shared" si="2"/>
        <v>0</v>
      </c>
      <c r="M85" s="7" t="e">
        <f>MAX(0, F85*(IF(I85="",Configuración!$B$3,I85) + IF(J85="",Configuración!$B$4,J85)) - (G85+H85))</f>
        <v>#REF!</v>
      </c>
      <c r="N85" s="5" t="e">
        <f>IF(IF(K85="",Configuración!$B$5,K85)&gt;0, CEILING(M85, IF(K85="",Configuración!$B$5,K85)), ROUNDUP(M85,0))</f>
        <v>#REF!</v>
      </c>
      <c r="O85" s="5">
        <v>40</v>
      </c>
      <c r="P85" s="14" t="e">
        <f>VLOOKUP(Tabla2[[#This Row],[Código country]],#REF!,7,0)*Tabla2[[#This Row],[PEDIDO FINAL]]</f>
        <v>#REF!</v>
      </c>
    </row>
    <row r="86" spans="1:16" ht="18" x14ac:dyDescent="0.3">
      <c r="A86" s="5" t="s">
        <v>45</v>
      </c>
      <c r="B86" s="5">
        <v>14574</v>
      </c>
      <c r="C86" s="5" t="s">
        <v>204</v>
      </c>
      <c r="D86" s="7" t="e">
        <f>VLOOKUP(Tabla2[[#This Row],[Código country]],#REF!,4,0)</f>
        <v>#REF!</v>
      </c>
      <c r="E86" s="5">
        <v>191</v>
      </c>
      <c r="F86" s="7">
        <f>IFERROR(D86/IF(E86="",Configuración!$B$2,E86),0)</f>
        <v>0</v>
      </c>
      <c r="G86" s="5" t="e">
        <f>VLOOKUP(Tabla2[[#This Row],[Código country]],#REF!,8,0)</f>
        <v>#REF!</v>
      </c>
      <c r="H86" s="5">
        <v>40</v>
      </c>
      <c r="I86" s="5">
        <v>5</v>
      </c>
      <c r="J86" s="5">
        <v>3.5</v>
      </c>
      <c r="K86" s="5">
        <v>10</v>
      </c>
      <c r="L86" s="7">
        <f t="shared" si="2"/>
        <v>0</v>
      </c>
      <c r="M86" s="7" t="e">
        <f>MAX(0, F86*(IF(I86="",Configuración!$B$3,I86) + IF(J86="",Configuración!$B$4,J86)) - (G86+H86))</f>
        <v>#REF!</v>
      </c>
      <c r="N86" s="5" t="e">
        <f>IF(IF(K86="",Configuración!$B$5,K86)&gt;0, CEILING(M86, IF(K86="",Configuración!$B$5,K86)), ROUNDUP(M86,0))</f>
        <v>#REF!</v>
      </c>
      <c r="O86" s="5">
        <v>40</v>
      </c>
      <c r="P86" s="14" t="e">
        <f>VLOOKUP(Tabla2[[#This Row],[Código country]],#REF!,7,0)*Tabla2[[#This Row],[PEDIDO FINAL]]</f>
        <v>#REF!</v>
      </c>
    </row>
    <row r="87" spans="1:16" ht="18" hidden="1" x14ac:dyDescent="0.3">
      <c r="A87" s="5">
        <v>14575</v>
      </c>
      <c r="B87" s="5">
        <v>14575</v>
      </c>
      <c r="C87" s="5" t="s">
        <v>138</v>
      </c>
      <c r="D87" s="7" t="e">
        <f>VLOOKUP(Tabla2[[#This Row],[Código country]],#REF!,4,0)</f>
        <v>#REF!</v>
      </c>
      <c r="E87" s="5">
        <v>191</v>
      </c>
      <c r="F87" s="7">
        <f>IFERROR(D87/IF(E87="",Configuración!$B$2,E87),0)</f>
        <v>0</v>
      </c>
      <c r="G87" s="5" t="e">
        <f>VLOOKUP(Tabla2[[#This Row],[Código country]],#REF!,8,0)</f>
        <v>#REF!</v>
      </c>
      <c r="H87" s="5"/>
      <c r="I87" s="5">
        <v>5</v>
      </c>
      <c r="J87" s="5">
        <v>3.5</v>
      </c>
      <c r="K87" s="5">
        <v>100</v>
      </c>
      <c r="L87" s="7">
        <f t="shared" si="2"/>
        <v>0</v>
      </c>
      <c r="M87" s="7" t="e">
        <f>MAX(0, F87*(IF(I87="",Configuración!$B$3,I87) + IF(J87="",Configuración!$B$4,J87)) - (G87+H87))</f>
        <v>#REF!</v>
      </c>
      <c r="N87" s="5" t="e">
        <f>IF(IF(K87="",Configuración!$B$5,K87)&gt;0, CEILING(M87, IF(K87="",Configuración!$B$5,K87)), ROUNDUP(M87,0))</f>
        <v>#REF!</v>
      </c>
      <c r="O87" s="5"/>
      <c r="P87" s="14" t="e">
        <f>VLOOKUP(Tabla2[[#This Row],[Código country]],#REF!,7,0)*Tabla2[[#This Row],[PEDIDO FINAL]]</f>
        <v>#REF!</v>
      </c>
    </row>
    <row r="88" spans="1:16" ht="18" x14ac:dyDescent="0.3">
      <c r="A88" s="5">
        <v>12593</v>
      </c>
      <c r="B88" s="5">
        <v>12593</v>
      </c>
      <c r="C88" s="5" t="s">
        <v>139</v>
      </c>
      <c r="D88" s="7" t="e">
        <f>VLOOKUP(Tabla2[[#This Row],[Código country]],#REF!,4,0)</f>
        <v>#REF!</v>
      </c>
      <c r="E88" s="5">
        <v>191</v>
      </c>
      <c r="F88" s="7">
        <f>IFERROR(D88/IF(E88="",Configuración!$B$2,E88),0)</f>
        <v>0</v>
      </c>
      <c r="G88" s="5" t="e">
        <f>VLOOKUP(Tabla2[[#This Row],[Código country]],#REF!,8,0)</f>
        <v>#REF!</v>
      </c>
      <c r="H88" s="5">
        <v>20</v>
      </c>
      <c r="I88" s="5">
        <v>3</v>
      </c>
      <c r="J88" s="5">
        <v>3.5</v>
      </c>
      <c r="K88" s="5">
        <v>1</v>
      </c>
      <c r="L88" s="7">
        <f t="shared" si="2"/>
        <v>0</v>
      </c>
      <c r="M88" s="7" t="e">
        <f>MAX(0, F88*(IF(I88="",Configuración!$B$3,I88) + IF(J88="",Configuración!$B$4,J88)) - (G88+H88))</f>
        <v>#REF!</v>
      </c>
      <c r="N88" s="5" t="e">
        <f>IF(IF(K88="",Configuración!$B$5,K88)&gt;0, CEILING(M88, IF(K88="",Configuración!$B$5,K88)), ROUNDUP(M88,0))</f>
        <v>#REF!</v>
      </c>
      <c r="O88" s="5">
        <v>6</v>
      </c>
      <c r="P88" s="14" t="e">
        <f>VLOOKUP(Tabla2[[#This Row],[Código country]],#REF!,7,0)*Tabla2[[#This Row],[PEDIDO FINAL]]</f>
        <v>#REF!</v>
      </c>
    </row>
    <row r="89" spans="1:16" ht="18" hidden="1" x14ac:dyDescent="0.3">
      <c r="A89" s="5">
        <v>14590</v>
      </c>
      <c r="B89" s="5" t="s">
        <v>31</v>
      </c>
      <c r="C89" s="18" t="s">
        <v>140</v>
      </c>
      <c r="D89" s="7" t="e">
        <f>VLOOKUP(Tabla2[[#This Row],[Código country]],#REF!,4,0)</f>
        <v>#REF!</v>
      </c>
      <c r="E89" s="5">
        <v>191</v>
      </c>
      <c r="F89" s="7">
        <f>IFERROR(D89/IF(E89="",Configuración!$B$2,E89),0)</f>
        <v>0</v>
      </c>
      <c r="G89" s="5" t="e">
        <f>VLOOKUP(Tabla2[[#This Row],[Código country]],#REF!,8,0)</f>
        <v>#REF!</v>
      </c>
      <c r="H89" s="5"/>
      <c r="I89" s="5">
        <v>5</v>
      </c>
      <c r="J89" s="5">
        <v>3.5</v>
      </c>
      <c r="K89" s="5">
        <v>10</v>
      </c>
      <c r="L89" s="7">
        <f t="shared" si="2"/>
        <v>0</v>
      </c>
      <c r="M89" s="7" t="e">
        <f>MAX(0, F89*(IF(I89="",Configuración!$B$3,I89) + IF(J89="",Configuración!$B$4,J89)) - (G89+H89))</f>
        <v>#REF!</v>
      </c>
      <c r="N89" s="5" t="e">
        <f>IF(IF(K89="",Configuración!$B$5,K89)&gt;0, CEILING(M89, IF(K89="",Configuración!$B$5,K89)), ROUNDUP(M89,0))</f>
        <v>#REF!</v>
      </c>
      <c r="O89" s="5"/>
      <c r="P89" s="14" t="e">
        <f>VLOOKUP(Tabla2[[#This Row],[Código country]],#REF!,7,0)*Tabla2[[#This Row],[PEDIDO FINAL]]</f>
        <v>#REF!</v>
      </c>
    </row>
    <row r="90" spans="1:16" ht="18" x14ac:dyDescent="0.3">
      <c r="A90" s="5">
        <v>14607</v>
      </c>
      <c r="B90" s="5">
        <v>14607</v>
      </c>
      <c r="C90" s="18" t="s">
        <v>46</v>
      </c>
      <c r="D90" s="7" t="e">
        <f>VLOOKUP(Tabla2[[#This Row],[Código country]],#REF!,4,0)</f>
        <v>#REF!</v>
      </c>
      <c r="E90" s="5">
        <v>191</v>
      </c>
      <c r="F90" s="7">
        <f>IFERROR(D90/IF(E90="",Configuración!$B$2,E90),0)</f>
        <v>0</v>
      </c>
      <c r="G90" s="5" t="e">
        <f>VLOOKUP(Tabla2[[#This Row],[Código country]],#REF!,8,0)</f>
        <v>#REF!</v>
      </c>
      <c r="H90" s="5"/>
      <c r="I90" s="5">
        <v>8</v>
      </c>
      <c r="J90" s="5">
        <v>3.5</v>
      </c>
      <c r="K90" s="5">
        <v>17</v>
      </c>
      <c r="L90" s="7">
        <f t="shared" si="2"/>
        <v>0</v>
      </c>
      <c r="M90" s="7" t="e">
        <f>MAX(0, F90*(IF(I90="",Configuración!$B$3,I90) + IF(J90="",Configuración!$B$4,J90)) - (G90+H90))</f>
        <v>#REF!</v>
      </c>
      <c r="N90" s="5" t="e">
        <f>IF(IF(K90="",Configuración!$B$5,K90)&gt;0, CEILING(M90, IF(K90="",Configuración!$B$5,K90)), ROUNDUP(M90,0))</f>
        <v>#REF!</v>
      </c>
      <c r="O90" s="5">
        <v>30</v>
      </c>
      <c r="P90" s="14" t="e">
        <f>VLOOKUP(Tabla2[[#This Row],[Código country]],#REF!,7,0)*Tabla2[[#This Row],[PEDIDO FINAL]]</f>
        <v>#REF!</v>
      </c>
    </row>
    <row r="91" spans="1:16" ht="18" hidden="1" x14ac:dyDescent="0.3">
      <c r="A91" s="5" t="s">
        <v>47</v>
      </c>
      <c r="B91" s="5" t="s">
        <v>69</v>
      </c>
      <c r="C91" s="5" t="s">
        <v>141</v>
      </c>
      <c r="D91" s="7" t="e">
        <f>VLOOKUP(Tabla2[[#This Row],[Código country]],#REF!,4,0)</f>
        <v>#REF!</v>
      </c>
      <c r="E91" s="5">
        <v>191</v>
      </c>
      <c r="F91" s="7">
        <f>IFERROR(D91/IF(E91="",Configuración!$B$2,E91),0)</f>
        <v>0</v>
      </c>
      <c r="G91" s="5" t="e">
        <f>VLOOKUP(Tabla2[[#This Row],[Código country]],#REF!,8,0)</f>
        <v>#REF!</v>
      </c>
      <c r="H91" s="5"/>
      <c r="I91" s="5">
        <v>5</v>
      </c>
      <c r="J91" s="5">
        <v>3.5</v>
      </c>
      <c r="K91" s="5">
        <v>1</v>
      </c>
      <c r="L91" s="7">
        <f t="shared" si="2"/>
        <v>0</v>
      </c>
      <c r="M91" s="7" t="e">
        <f>MAX(0, F91*(IF(I91="",Configuración!$B$3,I91) + IF(J91="",Configuración!$B$4,J91)) - (G91+H91))</f>
        <v>#REF!</v>
      </c>
      <c r="N91" s="5" t="e">
        <f>IF(IF(K91="",Configuración!$B$5,K91)&gt;0, CEILING(M91, IF(K91="",Configuración!$B$5,K91)), ROUNDUP(M91,0))</f>
        <v>#REF!</v>
      </c>
      <c r="O91" s="5"/>
      <c r="P91" s="14" t="e">
        <f>VLOOKUP(Tabla2[[#This Row],[Código country]],#REF!,7,0)*Tabla2[[#This Row],[PEDIDO FINAL]]</f>
        <v>#REF!</v>
      </c>
    </row>
    <row r="92" spans="1:16" ht="18" hidden="1" x14ac:dyDescent="0.3">
      <c r="A92" s="5" t="s">
        <v>70</v>
      </c>
      <c r="B92" s="5">
        <v>14514</v>
      </c>
      <c r="C92" s="5" t="s">
        <v>142</v>
      </c>
      <c r="D92" s="7" t="e">
        <f>VLOOKUP(Tabla2[[#This Row],[Código country]],#REF!,4,0)</f>
        <v>#REF!</v>
      </c>
      <c r="E92" s="5">
        <v>191</v>
      </c>
      <c r="F92" s="7">
        <f>IFERROR(D92/IF(E92="",Configuración!$B$2,E92),0)</f>
        <v>0</v>
      </c>
      <c r="G92" s="5" t="e">
        <f>VLOOKUP(Tabla2[[#This Row],[Código country]],#REF!,8,0)</f>
        <v>#REF!</v>
      </c>
      <c r="H92" s="5"/>
      <c r="I92" s="5">
        <v>5</v>
      </c>
      <c r="J92" s="5">
        <v>3.5</v>
      </c>
      <c r="K92" s="5">
        <v>1</v>
      </c>
      <c r="L92" s="7">
        <f t="shared" si="2"/>
        <v>0</v>
      </c>
      <c r="M92" s="7" t="e">
        <f>MAX(0, F92*(IF(I92="",Configuración!$B$3,I92) + IF(J92="",Configuración!$B$4,J92)) - (G92+H92))</f>
        <v>#REF!</v>
      </c>
      <c r="N92" s="5" t="e">
        <f>IF(IF(K92="",Configuración!$B$5,K92)&gt;0, CEILING(M92, IF(K92="",Configuración!$B$5,K92)), ROUNDUP(M92,0))</f>
        <v>#REF!</v>
      </c>
      <c r="O92" s="5"/>
      <c r="P92" s="14" t="e">
        <f>VLOOKUP(Tabla2[[#This Row],[Código country]],#REF!,7,0)*Tabla2[[#This Row],[PEDIDO FINAL]]</f>
        <v>#REF!</v>
      </c>
    </row>
    <row r="93" spans="1:16" ht="18" hidden="1" x14ac:dyDescent="0.3">
      <c r="A93" s="5" t="s">
        <v>32</v>
      </c>
      <c r="B93" s="5" t="s">
        <v>32</v>
      </c>
      <c r="C93" s="5" t="s">
        <v>143</v>
      </c>
      <c r="D93" s="7" t="e">
        <f>VLOOKUP(Tabla2[[#This Row],[Código country]],#REF!,4,0)</f>
        <v>#REF!</v>
      </c>
      <c r="E93" s="5">
        <v>191</v>
      </c>
      <c r="F93" s="7">
        <f>IFERROR(D93/IF(E93="",Configuración!$B$2,E93),0)</f>
        <v>0</v>
      </c>
      <c r="G93" s="5" t="e">
        <f>VLOOKUP(Tabla2[[#This Row],[Código country]],#REF!,8,0)</f>
        <v>#REF!</v>
      </c>
      <c r="H93" s="5"/>
      <c r="I93" s="5">
        <v>5</v>
      </c>
      <c r="J93" s="5">
        <v>3.5</v>
      </c>
      <c r="K93" s="5">
        <v>80</v>
      </c>
      <c r="L93" s="7">
        <f t="shared" si="2"/>
        <v>0</v>
      </c>
      <c r="M93" s="7" t="e">
        <f>MAX(0, F93*(IF(I93="",Configuración!$B$3,I93) + IF(J93="",Configuración!$B$4,J93)) - (G93+H93))</f>
        <v>#REF!</v>
      </c>
      <c r="N93" s="5" t="e">
        <f>IF(IF(K93="",Configuración!$B$5,K93)&gt;0, CEILING(M93, IF(K93="",Configuración!$B$5,K93)), ROUNDUP(M93,0))</f>
        <v>#REF!</v>
      </c>
      <c r="O93" s="5"/>
      <c r="P93" s="14" t="e">
        <f>VLOOKUP(Tabla2[[#This Row],[Código country]],#REF!,7,0)*Tabla2[[#This Row],[PEDIDO FINAL]]</f>
        <v>#REF!</v>
      </c>
    </row>
    <row r="94" spans="1:16" ht="18" hidden="1" x14ac:dyDescent="0.3">
      <c r="A94" s="5" t="s">
        <v>48</v>
      </c>
      <c r="B94" s="5" t="s">
        <v>33</v>
      </c>
      <c r="C94" s="5" t="s">
        <v>144</v>
      </c>
      <c r="D94" s="7" t="e">
        <f>VLOOKUP(Tabla2[[#This Row],[Código country]],#REF!,4,0)</f>
        <v>#REF!</v>
      </c>
      <c r="E94" s="5">
        <v>191</v>
      </c>
      <c r="F94" s="7">
        <f>IFERROR(D94/IF(E94="",Configuración!$B$2,E94),0)</f>
        <v>0</v>
      </c>
      <c r="G94" s="5" t="e">
        <f>VLOOKUP(Tabla2[[#This Row],[Código country]],#REF!,8,0)</f>
        <v>#REF!</v>
      </c>
      <c r="H94" s="5"/>
      <c r="I94" s="5">
        <v>5</v>
      </c>
      <c r="J94" s="5">
        <v>3.5</v>
      </c>
      <c r="K94" s="5">
        <v>80</v>
      </c>
      <c r="L94" s="7">
        <f t="shared" si="2"/>
        <v>0</v>
      </c>
      <c r="M94" s="7" t="e">
        <f>MAX(0, F94*(IF(I94="",Configuración!$B$3,I94) + IF(J94="",Configuración!$B$4,J94)) - (G94+H94))</f>
        <v>#REF!</v>
      </c>
      <c r="N94" s="5" t="e">
        <f>IF(IF(K94="",Configuración!$B$5,K94)&gt;0, CEILING(M94, IF(K94="",Configuración!$B$5,K94)), ROUNDUP(M94,0))</f>
        <v>#REF!</v>
      </c>
      <c r="O94" s="5"/>
      <c r="P94" s="14" t="e">
        <f>VLOOKUP(Tabla2[[#This Row],[Código country]],#REF!,7,0)*Tabla2[[#This Row],[PEDIDO FINAL]]</f>
        <v>#REF!</v>
      </c>
    </row>
    <row r="95" spans="1:16" ht="18" hidden="1" x14ac:dyDescent="0.3">
      <c r="A95" s="5" t="s">
        <v>71</v>
      </c>
      <c r="B95" s="5" t="s">
        <v>71</v>
      </c>
      <c r="C95" s="5" t="s">
        <v>145</v>
      </c>
      <c r="D95" s="7" t="e">
        <f>VLOOKUP(Tabla2[[#This Row],[Código country]],#REF!,4,0)</f>
        <v>#REF!</v>
      </c>
      <c r="E95" s="5">
        <v>191</v>
      </c>
      <c r="F95" s="7">
        <f>IFERROR(D95/IF(E95="",Configuración!$B$2,E95),0)</f>
        <v>0</v>
      </c>
      <c r="G95" s="5" t="e">
        <f>VLOOKUP(Tabla2[[#This Row],[Código country]],#REF!,8,0)</f>
        <v>#REF!</v>
      </c>
      <c r="H95" s="5"/>
      <c r="I95" s="5">
        <v>5</v>
      </c>
      <c r="J95" s="5">
        <v>3.5</v>
      </c>
      <c r="K95" s="5">
        <v>80</v>
      </c>
      <c r="L95" s="7">
        <f t="shared" si="2"/>
        <v>0</v>
      </c>
      <c r="M95" s="7" t="e">
        <f>MAX(0, F95*(IF(I95="",Configuración!$B$3,I95) + IF(J95="",Configuración!$B$4,J95)) - (G95+H95))</f>
        <v>#REF!</v>
      </c>
      <c r="N95" s="5" t="e">
        <f>IF(IF(K95="",Configuración!$B$5,K95)&gt;0, CEILING(M95, IF(K95="",Configuración!$B$5,K95)), ROUNDUP(M95,0))</f>
        <v>#REF!</v>
      </c>
      <c r="O95" s="5"/>
      <c r="P95" s="14" t="e">
        <f>VLOOKUP(Tabla2[[#This Row],[Código country]],#REF!,7,0)*Tabla2[[#This Row],[PEDIDO FINAL]]</f>
        <v>#REF!</v>
      </c>
    </row>
    <row r="96" spans="1:16" ht="18" hidden="1" x14ac:dyDescent="0.3">
      <c r="A96" s="5" t="s">
        <v>35</v>
      </c>
      <c r="B96" s="5" t="s">
        <v>35</v>
      </c>
      <c r="C96" s="5" t="s">
        <v>146</v>
      </c>
      <c r="D96" s="7" t="e">
        <f>VLOOKUP(Tabla2[[#This Row],[Código country]],#REF!,4,0)</f>
        <v>#REF!</v>
      </c>
      <c r="E96" s="5">
        <v>191</v>
      </c>
      <c r="F96" s="7">
        <f>IFERROR(D96/IF(E96="",Configuración!$B$2,E96),0)</f>
        <v>0</v>
      </c>
      <c r="G96" s="5" t="e">
        <f>VLOOKUP(Tabla2[[#This Row],[Código country]],#REF!,8,0)</f>
        <v>#REF!</v>
      </c>
      <c r="H96" s="5"/>
      <c r="I96" s="5">
        <v>5</v>
      </c>
      <c r="J96" s="5">
        <v>3.5</v>
      </c>
      <c r="K96" s="5">
        <v>80</v>
      </c>
      <c r="L96" s="7">
        <f t="shared" si="2"/>
        <v>0</v>
      </c>
      <c r="M96" s="7" t="e">
        <f>MAX(0, F96*(IF(I96="",Configuración!$B$3,I96) + IF(J96="",Configuración!$B$4,J96)) - (G96+H96))</f>
        <v>#REF!</v>
      </c>
      <c r="N96" s="5" t="e">
        <f>IF(IF(K96="",Configuración!$B$5,K96)&gt;0, CEILING(M96, IF(K96="",Configuración!$B$5,K96)), ROUNDUP(M96,0))</f>
        <v>#REF!</v>
      </c>
      <c r="O96" s="5"/>
      <c r="P96" s="14" t="e">
        <f>VLOOKUP(Tabla2[[#This Row],[Código country]],#REF!,7,0)*Tabla2[[#This Row],[PEDIDO FINAL]]</f>
        <v>#REF!</v>
      </c>
    </row>
    <row r="97" spans="1:16" ht="18" hidden="1" x14ac:dyDescent="0.3">
      <c r="A97" s="5">
        <v>11080</v>
      </c>
      <c r="B97" s="5">
        <v>11080</v>
      </c>
      <c r="C97" s="5" t="s">
        <v>147</v>
      </c>
      <c r="D97" s="7" t="e">
        <f>VLOOKUP(Tabla2[[#This Row],[Código country]],#REF!,4,0)</f>
        <v>#REF!</v>
      </c>
      <c r="E97" s="5">
        <v>191</v>
      </c>
      <c r="F97" s="7">
        <f>IFERROR(D97/IF(E97="",Configuración!$B$2,E97),0)</f>
        <v>0</v>
      </c>
      <c r="G97" s="5" t="e">
        <f>VLOOKUP(Tabla2[[#This Row],[Código country]],#REF!,8,0)</f>
        <v>#REF!</v>
      </c>
      <c r="H97" s="5"/>
      <c r="I97" s="5">
        <v>5</v>
      </c>
      <c r="J97" s="5">
        <v>3.5</v>
      </c>
      <c r="K97" s="5">
        <v>80</v>
      </c>
      <c r="L97" s="7">
        <f t="shared" si="2"/>
        <v>0</v>
      </c>
      <c r="M97" s="7" t="e">
        <f>MAX(0, F97*(IF(I97="",Configuración!$B$3,I97) + IF(J97="",Configuración!$B$4,J97)) - (G97+H97))</f>
        <v>#REF!</v>
      </c>
      <c r="N97" s="5" t="e">
        <f>IF(IF(K97="",Configuración!$B$5,K97)&gt;0, CEILING(M97, IF(K97="",Configuración!$B$5,K97)), ROUNDUP(M97,0))</f>
        <v>#REF!</v>
      </c>
      <c r="O97" s="5"/>
      <c r="P97" s="14" t="e">
        <f>VLOOKUP(Tabla2[[#This Row],[Código country]],#REF!,7,0)*Tabla2[[#This Row],[PEDIDO FINAL]]</f>
        <v>#REF!</v>
      </c>
    </row>
    <row r="98" spans="1:16" ht="18" hidden="1" x14ac:dyDescent="0.3">
      <c r="A98" s="5">
        <v>145102</v>
      </c>
      <c r="B98" s="5">
        <v>145102</v>
      </c>
      <c r="C98" s="5" t="s">
        <v>148</v>
      </c>
      <c r="D98" s="7" t="e">
        <f>VLOOKUP(Tabla2[[#This Row],[Código country]],#REF!,4,0)</f>
        <v>#REF!</v>
      </c>
      <c r="E98" s="5">
        <v>191</v>
      </c>
      <c r="F98" s="7">
        <f>IFERROR(D98/IF(E98="",Configuración!$B$2,E98),0)</f>
        <v>0</v>
      </c>
      <c r="G98" s="5" t="e">
        <f>VLOOKUP(Tabla2[[#This Row],[Código country]],#REF!,8,0)</f>
        <v>#REF!</v>
      </c>
      <c r="H98" s="5">
        <v>5</v>
      </c>
      <c r="I98" s="5">
        <v>5</v>
      </c>
      <c r="J98" s="5">
        <v>3.5</v>
      </c>
      <c r="K98" s="5">
        <v>5</v>
      </c>
      <c r="L98" s="7">
        <f t="shared" ref="L98:L129" si="3">IFERROR((G98+H98+O98)/F98,0)</f>
        <v>0</v>
      </c>
      <c r="M98" s="7" t="e">
        <f>MAX(0, F98*(IF(I98="",Configuración!$B$3,I98) + IF(J98="",Configuración!$B$4,J98)) - (G98+H98))</f>
        <v>#REF!</v>
      </c>
      <c r="N98" s="5" t="e">
        <f>IF(IF(K98="",Configuración!$B$5,K98)&gt;0, CEILING(M98, IF(K98="",Configuración!$B$5,K98)), ROUNDUP(M98,0))</f>
        <v>#REF!</v>
      </c>
      <c r="O98" s="5"/>
      <c r="P98" s="14" t="e">
        <f>VLOOKUP(Tabla2[[#This Row],[Código country]],#REF!,7,0)*Tabla2[[#This Row],[PEDIDO FINAL]]</f>
        <v>#REF!</v>
      </c>
    </row>
    <row r="99" spans="1:16" ht="18" hidden="1" x14ac:dyDescent="0.3">
      <c r="A99" s="5">
        <v>4321</v>
      </c>
      <c r="B99" s="5">
        <v>4421</v>
      </c>
      <c r="C99" s="5" t="s">
        <v>149</v>
      </c>
      <c r="D99" s="7" t="e">
        <f>VLOOKUP(Tabla2[[#This Row],[Código country]],#REF!,4,0)</f>
        <v>#REF!</v>
      </c>
      <c r="E99" s="5">
        <v>191</v>
      </c>
      <c r="F99" s="7">
        <f>IFERROR(D99/IF(E99="",Configuración!$B$2,E99),0)</f>
        <v>0</v>
      </c>
      <c r="G99" s="5" t="e">
        <f>VLOOKUP(Tabla2[[#This Row],[Código country]],#REF!,8,0)</f>
        <v>#REF!</v>
      </c>
      <c r="H99" s="5"/>
      <c r="I99" s="5">
        <v>5</v>
      </c>
      <c r="J99" s="5">
        <v>3.5</v>
      </c>
      <c r="K99" s="5">
        <v>10</v>
      </c>
      <c r="L99" s="7">
        <f t="shared" si="3"/>
        <v>0</v>
      </c>
      <c r="M99" s="7" t="e">
        <f>MAX(0, F99*(IF(I99="",Configuración!$B$3,I99) + IF(J99="",Configuración!$B$4,J99)) - (G99+H99))</f>
        <v>#REF!</v>
      </c>
      <c r="N99" s="5" t="e">
        <f>IF(IF(K99="",Configuración!$B$5,K99)&gt;0, CEILING(M99, IF(K99="",Configuración!$B$5,K99)), ROUNDUP(M99,0))</f>
        <v>#REF!</v>
      </c>
      <c r="O99" s="5"/>
      <c r="P99" s="14" t="e">
        <f>VLOOKUP(Tabla2[[#This Row],[Código country]],#REF!,7,0)*Tabla2[[#This Row],[PEDIDO FINAL]]</f>
        <v>#REF!</v>
      </c>
    </row>
    <row r="100" spans="1:16" ht="18" hidden="1" x14ac:dyDescent="0.3">
      <c r="A100" s="5">
        <v>911</v>
      </c>
      <c r="B100" s="5">
        <v>911</v>
      </c>
      <c r="C100" s="5" t="s">
        <v>150</v>
      </c>
      <c r="D100" s="7" t="e">
        <f>VLOOKUP(Tabla2[[#This Row],[Código country]],#REF!,4,0)</f>
        <v>#REF!</v>
      </c>
      <c r="E100" s="5">
        <v>191</v>
      </c>
      <c r="F100" s="7">
        <f>IFERROR(D100/IF(E100="",Configuración!$B$2,E100),0)</f>
        <v>0</v>
      </c>
      <c r="G100" s="5" t="e">
        <f>VLOOKUP(Tabla2[[#This Row],[Código country]],#REF!,8,0)</f>
        <v>#REF!</v>
      </c>
      <c r="H100" s="5"/>
      <c r="I100" s="5">
        <v>5</v>
      </c>
      <c r="J100" s="5">
        <v>3.5</v>
      </c>
      <c r="K100" s="5">
        <v>1</v>
      </c>
      <c r="L100" s="7">
        <f t="shared" si="3"/>
        <v>0</v>
      </c>
      <c r="M100" s="7" t="e">
        <f>MAX(0, F100*(IF(I100="",Configuración!$B$3,I100) + IF(J100="",Configuración!$B$4,J100)) - (G100+H100))</f>
        <v>#REF!</v>
      </c>
      <c r="N100" s="5" t="e">
        <f>IF(IF(K100="",Configuración!$B$5,K100)&gt;0, CEILING(M100, IF(K100="",Configuración!$B$5,K100)), ROUNDUP(M100,0))</f>
        <v>#REF!</v>
      </c>
      <c r="O100" s="5"/>
      <c r="P100" s="14" t="e">
        <f>VLOOKUP(Tabla2[[#This Row],[Código country]],#REF!,7,0)*Tabla2[[#This Row],[PEDIDO FINAL]]</f>
        <v>#REF!</v>
      </c>
    </row>
    <row r="101" spans="1:16" ht="18" hidden="1" x14ac:dyDescent="0.3">
      <c r="A101" s="5">
        <v>145128</v>
      </c>
      <c r="B101" s="5">
        <v>145128</v>
      </c>
      <c r="C101" s="5" t="s">
        <v>151</v>
      </c>
      <c r="D101" s="7" t="e">
        <f>VLOOKUP(Tabla2[[#This Row],[Código country]],#REF!,4,0)</f>
        <v>#REF!</v>
      </c>
      <c r="E101" s="5">
        <v>191</v>
      </c>
      <c r="F101" s="7">
        <f>IFERROR(D101/IF(E101="",Configuración!$B$2,E101),0)</f>
        <v>0</v>
      </c>
      <c r="G101" s="5" t="e">
        <f>VLOOKUP(Tabla2[[#This Row],[Código country]],#REF!,8,0)</f>
        <v>#REF!</v>
      </c>
      <c r="H101" s="5"/>
      <c r="I101" s="5">
        <v>5</v>
      </c>
      <c r="J101" s="5">
        <v>3.5</v>
      </c>
      <c r="K101" s="5">
        <v>1</v>
      </c>
      <c r="L101" s="7">
        <f t="shared" si="3"/>
        <v>0</v>
      </c>
      <c r="M101" s="7" t="e">
        <f>MAX(0, F101*(IF(I101="",Configuración!$B$3,I101) + IF(J101="",Configuración!$B$4,J101)) - (G101+H101))</f>
        <v>#REF!</v>
      </c>
      <c r="N101" s="5" t="e">
        <f>IF(IF(K101="",Configuración!$B$5,K101)&gt;0, CEILING(M101, IF(K101="",Configuración!$B$5,K101)), ROUNDUP(M101,0))</f>
        <v>#REF!</v>
      </c>
      <c r="O101" s="5"/>
      <c r="P101" s="14" t="e">
        <f>VLOOKUP(Tabla2[[#This Row],[Código country]],#REF!,7,0)*Tabla2[[#This Row],[PEDIDO FINAL]]</f>
        <v>#REF!</v>
      </c>
    </row>
    <row r="102" spans="1:16" ht="18" hidden="1" x14ac:dyDescent="0.3">
      <c r="A102" s="5">
        <v>16535</v>
      </c>
      <c r="B102" s="5">
        <v>16535</v>
      </c>
      <c r="C102" s="5" t="s">
        <v>206</v>
      </c>
      <c r="D102" s="7" t="e">
        <f>VLOOKUP(Tabla2[[#This Row],[Código country]],#REF!,4,0)</f>
        <v>#REF!</v>
      </c>
      <c r="E102" s="5">
        <v>191</v>
      </c>
      <c r="F102" s="7">
        <f>IFERROR(D102/IF(E102="",Configuración!$B$2,E102),0)</f>
        <v>0</v>
      </c>
      <c r="G102" s="5" t="e">
        <f>VLOOKUP(Tabla2[[#This Row],[Código country]],#REF!,8,0)</f>
        <v>#REF!</v>
      </c>
      <c r="H102" s="5"/>
      <c r="I102" s="5">
        <v>5</v>
      </c>
      <c r="J102" s="5">
        <v>3.5</v>
      </c>
      <c r="K102" s="5">
        <v>1</v>
      </c>
      <c r="L102" s="7">
        <f t="shared" si="3"/>
        <v>0</v>
      </c>
      <c r="M102" s="7" t="e">
        <f>MAX(0, F102*(IF(I102="",Configuración!$B$3,I102) + IF(J102="",Configuración!$B$4,J102)) - (G102+H102))</f>
        <v>#REF!</v>
      </c>
      <c r="N102" s="5" t="e">
        <f>IF(IF(K102="",Configuración!$B$5,K102)&gt;0, CEILING(M102, IF(K102="",Configuración!$B$5,K102)), ROUNDUP(M102,0))</f>
        <v>#REF!</v>
      </c>
      <c r="O102" s="5"/>
      <c r="P102" s="14" t="e">
        <f>VLOOKUP(Tabla2[[#This Row],[Código country]],#REF!,7,0)*Tabla2[[#This Row],[PEDIDO FINAL]]</f>
        <v>#REF!</v>
      </c>
    </row>
    <row r="103" spans="1:16" ht="18" hidden="1" x14ac:dyDescent="0.3">
      <c r="A103" s="5">
        <v>125121</v>
      </c>
      <c r="B103" s="5">
        <v>125121</v>
      </c>
      <c r="C103" s="5" t="s">
        <v>207</v>
      </c>
      <c r="D103" s="7" t="e">
        <f>VLOOKUP(Tabla2[[#This Row],[Código country]],#REF!,4,0)</f>
        <v>#REF!</v>
      </c>
      <c r="E103" s="5">
        <v>191</v>
      </c>
      <c r="F103" s="7">
        <f>IFERROR(D103/IF(E103="",Configuración!$B$2,E103),0)</f>
        <v>0</v>
      </c>
      <c r="G103" s="5" t="e">
        <f>VLOOKUP(Tabla2[[#This Row],[Código country]],#REF!,8,0)</f>
        <v>#REF!</v>
      </c>
      <c r="H103" s="5"/>
      <c r="I103" s="5">
        <v>3</v>
      </c>
      <c r="J103" s="5">
        <v>3.5</v>
      </c>
      <c r="K103" s="5">
        <v>1</v>
      </c>
      <c r="L103" s="7">
        <f t="shared" si="3"/>
        <v>0</v>
      </c>
      <c r="M103" s="7" t="e">
        <f>MAX(0, F103*(IF(I103="",Configuración!$B$3,I103) + IF(J103="",Configuración!$B$4,J103)) - (G103+H103))</f>
        <v>#REF!</v>
      </c>
      <c r="N103" s="5" t="e">
        <f>IF(IF(K103="",Configuración!$B$5,K103)&gt;0, CEILING(M103, IF(K103="",Configuración!$B$5,K103)), ROUNDUP(M103,0))</f>
        <v>#REF!</v>
      </c>
      <c r="O103" s="5"/>
      <c r="P103" s="14" t="e">
        <f>VLOOKUP(Tabla2[[#This Row],[Código country]],#REF!,7,0)*Tabla2[[#This Row],[PEDIDO FINAL]]</f>
        <v>#REF!</v>
      </c>
    </row>
    <row r="104" spans="1:16" ht="18" hidden="1" x14ac:dyDescent="0.3">
      <c r="A104" s="5">
        <v>12617</v>
      </c>
      <c r="B104" s="5">
        <v>12617</v>
      </c>
      <c r="C104" s="5" t="s">
        <v>152</v>
      </c>
      <c r="D104" s="7" t="e">
        <f>VLOOKUP(Tabla2[[#This Row],[Código country]],#REF!,4,0)</f>
        <v>#REF!</v>
      </c>
      <c r="E104" s="5">
        <v>191</v>
      </c>
      <c r="F104" s="7">
        <f>IFERROR(D104/IF(E104="",Configuración!$B$2,E104),0)</f>
        <v>0</v>
      </c>
      <c r="G104" s="5" t="e">
        <f>VLOOKUP(Tabla2[[#This Row],[Código country]],#REF!,8,0)</f>
        <v>#REF!</v>
      </c>
      <c r="H104" s="5"/>
      <c r="I104" s="5">
        <v>3</v>
      </c>
      <c r="J104" s="5">
        <v>3.5</v>
      </c>
      <c r="K104" s="5">
        <v>1</v>
      </c>
      <c r="L104" s="7">
        <f t="shared" si="3"/>
        <v>0</v>
      </c>
      <c r="M104" s="7" t="e">
        <f>MAX(0, F104*(IF(I104="",Configuración!$B$3,I104) + IF(J104="",Configuración!$B$4,J104)) - (G104+H104))</f>
        <v>#REF!</v>
      </c>
      <c r="N104" s="5" t="e">
        <f>IF(IF(K104="",Configuración!$B$5,K104)&gt;0, CEILING(M104, IF(K104="",Configuración!$B$5,K104)), ROUNDUP(M104,0))</f>
        <v>#REF!</v>
      </c>
      <c r="O104" s="5"/>
      <c r="P104" s="14" t="e">
        <f>VLOOKUP(Tabla2[[#This Row],[Código country]],#REF!,7,0)*Tabla2[[#This Row],[PEDIDO FINAL]]</f>
        <v>#REF!</v>
      </c>
    </row>
    <row r="105" spans="1:16" ht="18" x14ac:dyDescent="0.3">
      <c r="A105" s="5">
        <v>11551</v>
      </c>
      <c r="B105" s="5">
        <v>11551</v>
      </c>
      <c r="C105" s="5" t="s">
        <v>153</v>
      </c>
      <c r="D105" s="7" t="e">
        <f>VLOOKUP(Tabla2[[#This Row],[Código country]],#REF!,4,0)</f>
        <v>#REF!</v>
      </c>
      <c r="E105" s="5">
        <v>191</v>
      </c>
      <c r="F105" s="7">
        <f>IFERROR(D105/IF(E105="",Configuración!$B$2,E105),0)</f>
        <v>0</v>
      </c>
      <c r="G105" s="5" t="e">
        <f>VLOOKUP(Tabla2[[#This Row],[Código country]],#REF!,8,0)</f>
        <v>#REF!</v>
      </c>
      <c r="H105" s="5">
        <v>12</v>
      </c>
      <c r="I105" s="5">
        <v>3</v>
      </c>
      <c r="J105" s="5">
        <v>3.5</v>
      </c>
      <c r="K105" s="5">
        <v>4</v>
      </c>
      <c r="L105" s="7">
        <f t="shared" si="3"/>
        <v>0</v>
      </c>
      <c r="M105" s="7" t="e">
        <f>MAX(0, F105*(IF(I105="",Configuración!$B$3,I105) + IF(J105="",Configuración!$B$4,J105)) - (G105+H105))</f>
        <v>#REF!</v>
      </c>
      <c r="N105" s="5" t="e">
        <f>IF(IF(K105="",Configuración!$B$5,K105)&gt;0, CEILING(M105, IF(K105="",Configuración!$B$5,K105)), ROUNDUP(M105,0))</f>
        <v>#REF!</v>
      </c>
      <c r="O105" s="5">
        <v>6</v>
      </c>
      <c r="P105" s="14" t="e">
        <f>VLOOKUP(Tabla2[[#This Row],[Código country]],#REF!,7,0)*Tabla2[[#This Row],[PEDIDO FINAL]]</f>
        <v>#REF!</v>
      </c>
    </row>
    <row r="106" spans="1:16" ht="18" x14ac:dyDescent="0.3">
      <c r="A106" s="5">
        <v>13521</v>
      </c>
      <c r="B106" s="5">
        <v>13521</v>
      </c>
      <c r="C106" s="5" t="s">
        <v>49</v>
      </c>
      <c r="D106" s="7" t="e">
        <f>VLOOKUP(Tabla2[[#This Row],[Código country]],#REF!,4,0)</f>
        <v>#REF!</v>
      </c>
      <c r="E106" s="5">
        <v>191</v>
      </c>
      <c r="F106" s="7">
        <f>IFERROR(D106/IF(E106="",Configuración!$B$2,E106),0)</f>
        <v>0</v>
      </c>
      <c r="G106" s="5" t="e">
        <f>VLOOKUP(Tabla2[[#This Row],[Código country]],#REF!,8,0)</f>
        <v>#REF!</v>
      </c>
      <c r="H106" s="5"/>
      <c r="I106" s="5">
        <v>5</v>
      </c>
      <c r="J106" s="5">
        <v>3.5</v>
      </c>
      <c r="K106" s="5">
        <v>5</v>
      </c>
      <c r="L106" s="7">
        <f t="shared" si="3"/>
        <v>0</v>
      </c>
      <c r="M106" s="7" t="e">
        <f>MAX(0, F106*(IF(I106="",Configuración!$B$3,I106) + IF(J106="",Configuración!$B$4,J106)) - (G106+H106))</f>
        <v>#REF!</v>
      </c>
      <c r="N106" s="5" t="e">
        <f>IF(IF(K106="",Configuración!$B$5,K106)&gt;0, CEILING(M106, IF(K106="",Configuración!$B$5,K106)), ROUNDUP(M106,0))</f>
        <v>#REF!</v>
      </c>
      <c r="O106" s="5">
        <v>5</v>
      </c>
      <c r="P106" s="14" t="e">
        <f>VLOOKUP(Tabla2[[#This Row],[Código country]],#REF!,7,0)*Tabla2[[#This Row],[PEDIDO FINAL]]</f>
        <v>#REF!</v>
      </c>
    </row>
    <row r="107" spans="1:16" ht="18" x14ac:dyDescent="0.3">
      <c r="A107" s="5">
        <v>145143</v>
      </c>
      <c r="B107" s="5">
        <v>145143</v>
      </c>
      <c r="C107" s="5" t="s">
        <v>154</v>
      </c>
      <c r="D107" s="7" t="e">
        <f>VLOOKUP(Tabla2[[#This Row],[Código country]],#REF!,4,0)</f>
        <v>#REF!</v>
      </c>
      <c r="E107" s="5">
        <v>191</v>
      </c>
      <c r="F107" s="7">
        <f>IFERROR(D107/IF(E107="",Configuración!$B$2,E107),0)</f>
        <v>0</v>
      </c>
      <c r="G107" s="5" t="e">
        <f>VLOOKUP(Tabla2[[#This Row],[Código country]],#REF!,8,0)</f>
        <v>#REF!</v>
      </c>
      <c r="H107" s="5">
        <v>100</v>
      </c>
      <c r="I107" s="5">
        <v>5</v>
      </c>
      <c r="J107" s="5">
        <v>3.5</v>
      </c>
      <c r="K107" s="5">
        <v>1</v>
      </c>
      <c r="L107" s="7">
        <f t="shared" si="3"/>
        <v>0</v>
      </c>
      <c r="M107" s="7" t="e">
        <f>MAX(0, F107*(IF(I107="",Configuración!$B$3,I107) + IF(J107="",Configuración!$B$4,J107)) - (G107+H107))</f>
        <v>#REF!</v>
      </c>
      <c r="N107" s="5" t="e">
        <f>IF(IF(K107="",Configuración!$B$5,K107)&gt;0, CEILING(M107, IF(K107="",Configuración!$B$5,K107)), ROUNDUP(M107,0))</f>
        <v>#REF!</v>
      </c>
      <c r="O107" s="5">
        <v>100</v>
      </c>
      <c r="P107" s="14" t="e">
        <f>VLOOKUP(Tabla2[[#This Row],[Código country]],#REF!,7,0)*Tabla2[[#This Row],[PEDIDO FINAL]]</f>
        <v>#REF!</v>
      </c>
    </row>
    <row r="108" spans="1:16" ht="18" hidden="1" x14ac:dyDescent="0.3">
      <c r="A108" s="5" t="s">
        <v>198</v>
      </c>
      <c r="B108" s="5">
        <v>145180</v>
      </c>
      <c r="C108" s="5" t="s">
        <v>199</v>
      </c>
      <c r="D108" s="7" t="e">
        <f>VLOOKUP(Tabla2[[#This Row],[Código country]],#REF!,4,0)</f>
        <v>#REF!</v>
      </c>
      <c r="E108" s="5">
        <v>191</v>
      </c>
      <c r="F108" s="7">
        <f>IFERROR(D108/IF(E108="",Configuración!$B$2,E108),0)</f>
        <v>0</v>
      </c>
      <c r="G108" s="5" t="e">
        <f>VLOOKUP(Tabla2[[#This Row],[Código country]],#REF!,8,0)</f>
        <v>#REF!</v>
      </c>
      <c r="H108" s="5">
        <v>4</v>
      </c>
      <c r="I108" s="5">
        <v>5</v>
      </c>
      <c r="J108" s="5">
        <v>3.5</v>
      </c>
      <c r="K108" s="5">
        <v>1</v>
      </c>
      <c r="L108" s="7">
        <f t="shared" si="3"/>
        <v>0</v>
      </c>
      <c r="M108" s="7" t="e">
        <f>MAX(0, F108*(IF(I108="",Configuración!$B$3,I108) + IF(J108="",Configuración!$B$4,J108)) - (G108+H108))</f>
        <v>#REF!</v>
      </c>
      <c r="N108" s="5" t="e">
        <f>IF(IF(K108="",Configuración!$B$5,K108)&gt;0, CEILING(M108, IF(K108="",Configuración!$B$5,K108)), ROUNDUP(M108,0))</f>
        <v>#REF!</v>
      </c>
      <c r="O108" s="5"/>
      <c r="P108" s="14" t="e">
        <f>VLOOKUP(Tabla2[[#This Row],[Código country]],#REF!,7,0)*Tabla2[[#This Row],[PEDIDO FINAL]]</f>
        <v>#REF!</v>
      </c>
    </row>
    <row r="109" spans="1:16" ht="18" hidden="1" x14ac:dyDescent="0.3">
      <c r="A109" s="5">
        <v>145142</v>
      </c>
      <c r="B109" s="5">
        <v>145142</v>
      </c>
      <c r="C109" s="5" t="s">
        <v>155</v>
      </c>
      <c r="D109" s="7" t="e">
        <f>VLOOKUP(Tabla2[[#This Row],[Código country]],#REF!,4,0)</f>
        <v>#REF!</v>
      </c>
      <c r="E109" s="5">
        <v>191</v>
      </c>
      <c r="F109" s="7">
        <f>IFERROR(D109/IF(E109="",Configuración!$B$2,E109),0)</f>
        <v>0</v>
      </c>
      <c r="G109" s="5" t="e">
        <f>VLOOKUP(Tabla2[[#This Row],[Código country]],#REF!,8,0)</f>
        <v>#REF!</v>
      </c>
      <c r="H109" s="5"/>
      <c r="I109" s="5">
        <v>5</v>
      </c>
      <c r="J109" s="5">
        <v>3.5</v>
      </c>
      <c r="K109" s="5">
        <v>1</v>
      </c>
      <c r="L109" s="7">
        <f t="shared" si="3"/>
        <v>0</v>
      </c>
      <c r="M109" s="7" t="e">
        <f>MAX(0, F109*(IF(I109="",Configuración!$B$3,I109) + IF(J109="",Configuración!$B$4,J109)) - (G109+H109))</f>
        <v>#REF!</v>
      </c>
      <c r="N109" s="5" t="e">
        <f>IF(IF(K109="",Configuración!$B$5,K109)&gt;0, CEILING(M109, IF(K109="",Configuración!$B$5,K109)), ROUNDUP(M109,0))</f>
        <v>#REF!</v>
      </c>
      <c r="O109" s="5"/>
      <c r="P109" s="14" t="e">
        <f>VLOOKUP(Tabla2[[#This Row],[Código country]],#REF!,7,0)*Tabla2[[#This Row],[PEDIDO FINAL]]</f>
        <v>#REF!</v>
      </c>
    </row>
    <row r="110" spans="1:16" ht="18" x14ac:dyDescent="0.3">
      <c r="A110" s="5">
        <v>4131</v>
      </c>
      <c r="B110" s="5">
        <v>4431</v>
      </c>
      <c r="C110" s="5" t="s">
        <v>156</v>
      </c>
      <c r="D110" s="7" t="e">
        <f>VLOOKUP(Tabla2[[#This Row],[Código country]],#REF!,4,0)</f>
        <v>#REF!</v>
      </c>
      <c r="E110" s="5">
        <v>191</v>
      </c>
      <c r="F110" s="7">
        <f>IFERROR(D110/IF(E110="",Configuración!$B$2,E110),0)</f>
        <v>0</v>
      </c>
      <c r="G110" s="5" t="e">
        <f>VLOOKUP(Tabla2[[#This Row],[Código country]],#REF!,8,0)</f>
        <v>#REF!</v>
      </c>
      <c r="H110" s="5"/>
      <c r="I110" s="5">
        <v>5</v>
      </c>
      <c r="J110" s="5">
        <v>3.5</v>
      </c>
      <c r="K110" s="5">
        <v>10</v>
      </c>
      <c r="L110" s="7">
        <f t="shared" si="3"/>
        <v>0</v>
      </c>
      <c r="M110" s="7" t="e">
        <f>MAX(0, F110*(IF(I110="",Configuración!$B$3,I110) + IF(J110="",Configuración!$B$4,J110)) - (G110+H110))</f>
        <v>#REF!</v>
      </c>
      <c r="N110" s="5" t="e">
        <f>IF(IF(K110="",Configuración!$B$5,K110)&gt;0, CEILING(M110, IF(K110="",Configuración!$B$5,K110)), ROUNDUP(M110,0))</f>
        <v>#REF!</v>
      </c>
      <c r="O110" s="5">
        <v>1</v>
      </c>
      <c r="P110" s="14" t="e">
        <f>VLOOKUP(Tabla2[[#This Row],[Código country]],#REF!,7,0)*Tabla2[[#This Row],[PEDIDO FINAL]]</f>
        <v>#REF!</v>
      </c>
    </row>
    <row r="111" spans="1:16" ht="18" x14ac:dyDescent="0.3">
      <c r="A111" s="5">
        <v>16540</v>
      </c>
      <c r="B111" s="5">
        <v>16540</v>
      </c>
      <c r="C111" s="5" t="s">
        <v>157</v>
      </c>
      <c r="D111" s="7" t="e">
        <f>VLOOKUP(Tabla2[[#This Row],[Código country]],#REF!,4,0)</f>
        <v>#REF!</v>
      </c>
      <c r="E111" s="5">
        <v>191</v>
      </c>
      <c r="F111" s="7">
        <f>IFERROR(D111/IF(E111="",Configuración!$B$2,E111),0)</f>
        <v>0</v>
      </c>
      <c r="G111" s="5" t="e">
        <f>VLOOKUP(Tabla2[[#This Row],[Código country]],#REF!,8,0)</f>
        <v>#REF!</v>
      </c>
      <c r="H111" s="5">
        <v>6</v>
      </c>
      <c r="I111" s="5">
        <v>3</v>
      </c>
      <c r="J111" s="5">
        <v>3.5</v>
      </c>
      <c r="K111" s="5">
        <v>1</v>
      </c>
      <c r="L111" s="7">
        <f t="shared" si="3"/>
        <v>0</v>
      </c>
      <c r="M111" s="7" t="e">
        <f>MAX(0, F111*(IF(I111="",Configuración!$B$3,I111) + IF(J111="",Configuración!$B$4,J111)) - (G111+H111))</f>
        <v>#REF!</v>
      </c>
      <c r="N111" s="5" t="e">
        <f>IF(IF(K111="",Configuración!$B$5,K111)&gt;0, CEILING(M111, IF(K111="",Configuración!$B$5,K111)), ROUNDUP(M111,0))</f>
        <v>#REF!</v>
      </c>
      <c r="O111" s="5">
        <v>4</v>
      </c>
      <c r="P111" s="14" t="e">
        <f>VLOOKUP(Tabla2[[#This Row],[Código country]],#REF!,7,0)*Tabla2[[#This Row],[PEDIDO FINAL]]</f>
        <v>#REF!</v>
      </c>
    </row>
    <row r="112" spans="1:16" ht="18" hidden="1" x14ac:dyDescent="0.3">
      <c r="A112" s="5">
        <v>16553</v>
      </c>
      <c r="B112" s="5">
        <v>16553</v>
      </c>
      <c r="C112" s="5" t="s">
        <v>50</v>
      </c>
      <c r="D112" s="7" t="e">
        <f>VLOOKUP(Tabla2[[#This Row],[Código country]],#REF!,4,0)</f>
        <v>#REF!</v>
      </c>
      <c r="E112" s="5">
        <v>191</v>
      </c>
      <c r="F112" s="7">
        <f>IFERROR(D112/IF(E112="",Configuración!$B$2,E112),0)</f>
        <v>0</v>
      </c>
      <c r="G112" s="5" t="e">
        <f>VLOOKUP(Tabla2[[#This Row],[Código country]],#REF!,8,0)</f>
        <v>#REF!</v>
      </c>
      <c r="H112" s="5"/>
      <c r="I112" s="5">
        <v>5</v>
      </c>
      <c r="J112" s="5">
        <v>3.5</v>
      </c>
      <c r="K112" s="5">
        <v>1</v>
      </c>
      <c r="L112" s="7">
        <f t="shared" si="3"/>
        <v>0</v>
      </c>
      <c r="M112" s="7" t="e">
        <f>MAX(0, F112*(IF(I112="",Configuración!$B$3,I112) + IF(J112="",Configuración!$B$4,J112)) - (G112+H112))</f>
        <v>#REF!</v>
      </c>
      <c r="N112" s="5" t="e">
        <f>IF(IF(K112="",Configuración!$B$5,K112)&gt;0, CEILING(M112, IF(K112="",Configuración!$B$5,K112)), ROUNDUP(M112,0))</f>
        <v>#REF!</v>
      </c>
      <c r="O112" s="5"/>
      <c r="P112" s="14" t="e">
        <f>VLOOKUP(Tabla2[[#This Row],[Código country]],#REF!,7,0)*Tabla2[[#This Row],[PEDIDO FINAL]]</f>
        <v>#REF!</v>
      </c>
    </row>
    <row r="113" spans="1:16" ht="18" x14ac:dyDescent="0.3">
      <c r="A113" s="5">
        <v>13556</v>
      </c>
      <c r="B113" s="5">
        <v>13556</v>
      </c>
      <c r="C113" s="5" t="s">
        <v>51</v>
      </c>
      <c r="D113" s="7" t="e">
        <f>VLOOKUP(Tabla2[[#This Row],[Código country]],#REF!,4,0)</f>
        <v>#REF!</v>
      </c>
      <c r="E113" s="5">
        <v>191</v>
      </c>
      <c r="F113" s="7">
        <f>IFERROR(D113/IF(E113="",Configuración!$B$2,E113),0)</f>
        <v>0</v>
      </c>
      <c r="G113" s="5" t="e">
        <f>VLOOKUP(Tabla2[[#This Row],[Código country]],#REF!,8,0)</f>
        <v>#REF!</v>
      </c>
      <c r="H113" s="5">
        <v>90</v>
      </c>
      <c r="I113" s="5">
        <v>8</v>
      </c>
      <c r="J113" s="5">
        <v>3.5</v>
      </c>
      <c r="K113" s="5">
        <v>15</v>
      </c>
      <c r="L113" s="7">
        <f t="shared" si="3"/>
        <v>0</v>
      </c>
      <c r="M113" s="7" t="e">
        <f>MAX(0, F113*(IF(I113="",Configuración!$B$3,I113) + IF(J113="",Configuración!$B$4,J113)) - (G113+H113))</f>
        <v>#REF!</v>
      </c>
      <c r="N113" s="5" t="e">
        <f>IF(IF(K113="",Configuración!$B$5,K113)&gt;0, CEILING(M113, IF(K113="",Configuración!$B$5,K113)), ROUNDUP(M113,0))</f>
        <v>#REF!</v>
      </c>
      <c r="O113" s="5">
        <v>90</v>
      </c>
      <c r="P113" s="14" t="e">
        <f>VLOOKUP(Tabla2[[#This Row],[Código country]],#REF!,7,0)*Tabla2[[#This Row],[PEDIDO FINAL]]</f>
        <v>#REF!</v>
      </c>
    </row>
    <row r="114" spans="1:16" ht="18" hidden="1" x14ac:dyDescent="0.3">
      <c r="A114" s="5" t="s">
        <v>38</v>
      </c>
      <c r="B114" s="5" t="s">
        <v>38</v>
      </c>
      <c r="C114" s="5" t="s">
        <v>52</v>
      </c>
      <c r="D114" s="7" t="e">
        <f>VLOOKUP(Tabla2[[#This Row],[Código country]],#REF!,4,0)</f>
        <v>#REF!</v>
      </c>
      <c r="E114" s="5">
        <v>191</v>
      </c>
      <c r="F114" s="7">
        <f>IFERROR(D114/IF(E114="",Configuración!$B$2,E114),0)</f>
        <v>0</v>
      </c>
      <c r="G114" s="5" t="e">
        <f>VLOOKUP(Tabla2[[#This Row],[Código country]],#REF!,8,0)</f>
        <v>#REF!</v>
      </c>
      <c r="H114" s="5">
        <v>30</v>
      </c>
      <c r="I114" s="5">
        <v>8</v>
      </c>
      <c r="J114" s="5">
        <v>3.5</v>
      </c>
      <c r="K114" s="5">
        <v>15</v>
      </c>
      <c r="L114" s="7">
        <f t="shared" si="3"/>
        <v>0</v>
      </c>
      <c r="M114" s="7" t="e">
        <f>MAX(0, F114*(IF(I114="",Configuración!$B$3,I114) + IF(J114="",Configuración!$B$4,J114)) - (G114+H114))</f>
        <v>#REF!</v>
      </c>
      <c r="N114" s="5" t="e">
        <f>IF(IF(K114="",Configuración!$B$5,K114)&gt;0, CEILING(M114, IF(K114="",Configuración!$B$5,K114)), ROUNDUP(M114,0))</f>
        <v>#REF!</v>
      </c>
      <c r="O114" s="5"/>
      <c r="P114" s="14" t="e">
        <f>VLOOKUP(Tabla2[[#This Row],[Código country]],#REF!,7,0)*Tabla2[[#This Row],[PEDIDO FINAL]]</f>
        <v>#REF!</v>
      </c>
    </row>
    <row r="115" spans="1:16" ht="18" hidden="1" x14ac:dyDescent="0.3">
      <c r="A115" s="5">
        <v>13557</v>
      </c>
      <c r="B115" s="5">
        <v>13557</v>
      </c>
      <c r="C115" s="5" t="s">
        <v>158</v>
      </c>
      <c r="D115" s="7" t="e">
        <f>VLOOKUP(Tabla2[[#This Row],[Código country]],#REF!,4,0)</f>
        <v>#REF!</v>
      </c>
      <c r="E115" s="5">
        <v>191</v>
      </c>
      <c r="F115" s="7">
        <f>IFERROR(D115/IF(E115="",Configuración!$B$2,E115),0)</f>
        <v>0</v>
      </c>
      <c r="G115" s="5" t="e">
        <f>VLOOKUP(Tabla2[[#This Row],[Código country]],#REF!,8,0)</f>
        <v>#REF!</v>
      </c>
      <c r="H115" s="5">
        <v>15</v>
      </c>
      <c r="I115" s="5">
        <v>8</v>
      </c>
      <c r="J115" s="5">
        <v>3.5</v>
      </c>
      <c r="K115" s="5">
        <v>15</v>
      </c>
      <c r="L115" s="7">
        <f t="shared" si="3"/>
        <v>0</v>
      </c>
      <c r="M115" s="7" t="e">
        <f>MAX(0, F115*(IF(I115="",Configuración!$B$3,I115) + IF(J115="",Configuración!$B$4,J115)) - (G115+H115))</f>
        <v>#REF!</v>
      </c>
      <c r="N115" s="5" t="e">
        <f>IF(IF(K115="",Configuración!$B$5,K115)&gt;0, CEILING(M115, IF(K115="",Configuración!$B$5,K115)), ROUNDUP(M115,0))</f>
        <v>#REF!</v>
      </c>
      <c r="O115" s="5"/>
      <c r="P115" s="14" t="e">
        <f>VLOOKUP(Tabla2[[#This Row],[Código country]],#REF!,7,0)*Tabla2[[#This Row],[PEDIDO FINAL]]</f>
        <v>#REF!</v>
      </c>
    </row>
    <row r="116" spans="1:16" ht="18" x14ac:dyDescent="0.3">
      <c r="A116" s="5">
        <v>1451633</v>
      </c>
      <c r="B116" s="5">
        <v>1451633</v>
      </c>
      <c r="C116" s="5" t="s">
        <v>159</v>
      </c>
      <c r="D116" s="7" t="e">
        <f>VLOOKUP(Tabla2[[#This Row],[Código country]],#REF!,4,0)</f>
        <v>#REF!</v>
      </c>
      <c r="E116" s="5">
        <v>191</v>
      </c>
      <c r="F116" s="7">
        <f>IFERROR(D116/IF(E116="",Configuración!$B$2,E116),0)</f>
        <v>0</v>
      </c>
      <c r="G116" s="5" t="e">
        <f>VLOOKUP(Tabla2[[#This Row],[Código country]],#REF!,8,0)</f>
        <v>#REF!</v>
      </c>
      <c r="H116" s="5">
        <v>130</v>
      </c>
      <c r="I116" s="5">
        <v>6</v>
      </c>
      <c r="J116" s="5">
        <v>3.5</v>
      </c>
      <c r="K116" s="5">
        <v>1</v>
      </c>
      <c r="L116" s="7">
        <f t="shared" si="3"/>
        <v>0</v>
      </c>
      <c r="M116" s="7" t="e">
        <f>MAX(0, F116*(IF(I116="",Configuración!$B$3,I116) + IF(J116="",Configuración!$B$4,J116)) - (G116+H116))</f>
        <v>#REF!</v>
      </c>
      <c r="N116" s="5" t="e">
        <f>IF(IF(K116="",Configuración!$B$5,K116)&gt;0, CEILING(M116, IF(K116="",Configuración!$B$5,K116)), ROUNDUP(M116,0))</f>
        <v>#REF!</v>
      </c>
      <c r="O116" s="5">
        <v>40</v>
      </c>
      <c r="P116" s="14" t="e">
        <f>VLOOKUP(Tabla2[[#This Row],[Código country]],#REF!,7,0)*Tabla2[[#This Row],[PEDIDO FINAL]]</f>
        <v>#REF!</v>
      </c>
    </row>
    <row r="117" spans="1:16" ht="18" x14ac:dyDescent="0.3">
      <c r="A117" s="5">
        <v>16510</v>
      </c>
      <c r="B117" s="5">
        <v>16510</v>
      </c>
      <c r="C117" s="5" t="s">
        <v>160</v>
      </c>
      <c r="D117" s="7" t="e">
        <f>VLOOKUP(Tabla2[[#This Row],[Código country]],#REF!,4,0)</f>
        <v>#REF!</v>
      </c>
      <c r="E117" s="5">
        <v>191</v>
      </c>
      <c r="F117" s="7">
        <f>IFERROR(D117/IF(E117="",Configuración!$B$2,E117),0)</f>
        <v>0</v>
      </c>
      <c r="G117" s="5" t="e">
        <f>VLOOKUP(Tabla2[[#This Row],[Código country]],#REF!,8,0)</f>
        <v>#REF!</v>
      </c>
      <c r="H117" s="5">
        <v>10</v>
      </c>
      <c r="I117" s="5">
        <v>5</v>
      </c>
      <c r="J117" s="5">
        <v>3.5</v>
      </c>
      <c r="K117" s="5">
        <v>10</v>
      </c>
      <c r="L117" s="7">
        <f t="shared" si="3"/>
        <v>0</v>
      </c>
      <c r="M117" s="7" t="e">
        <f>MAX(0, F117*(IF(I117="",Configuración!$B$3,I117) + IF(J117="",Configuración!$B$4,J117)) - (G117+H117))</f>
        <v>#REF!</v>
      </c>
      <c r="N117" s="5" t="e">
        <f>IF(IF(K117="",Configuración!$B$5,K117)&gt;0, CEILING(M117, IF(K117="",Configuración!$B$5,K117)), ROUNDUP(M117,0))</f>
        <v>#REF!</v>
      </c>
      <c r="O117" s="5">
        <v>10</v>
      </c>
      <c r="P117" s="14" t="e">
        <f>VLOOKUP(Tabla2[[#This Row],[Código country]],#REF!,7,0)*Tabla2[[#This Row],[PEDIDO FINAL]]</f>
        <v>#REF!</v>
      </c>
    </row>
    <row r="118" spans="1:16" ht="18" x14ac:dyDescent="0.3">
      <c r="A118" s="5">
        <v>125131</v>
      </c>
      <c r="B118" s="5">
        <v>125131</v>
      </c>
      <c r="C118" s="5" t="s">
        <v>53</v>
      </c>
      <c r="D118" s="7" t="e">
        <f>VLOOKUP(Tabla2[[#This Row],[Código country]],#REF!,4,0)</f>
        <v>#REF!</v>
      </c>
      <c r="E118" s="5">
        <v>191</v>
      </c>
      <c r="F118" s="7">
        <f>IFERROR(D118/IF(E118="",Configuración!$B$2,E118),0)</f>
        <v>0</v>
      </c>
      <c r="G118" s="5" t="e">
        <f>VLOOKUP(Tabla2[[#This Row],[Código country]],#REF!,8,0)</f>
        <v>#REF!</v>
      </c>
      <c r="H118" s="5">
        <v>12</v>
      </c>
      <c r="I118" s="5">
        <v>3</v>
      </c>
      <c r="J118" s="5">
        <v>3.5</v>
      </c>
      <c r="K118" s="5">
        <v>12</v>
      </c>
      <c r="L118" s="7">
        <f t="shared" si="3"/>
        <v>0</v>
      </c>
      <c r="M118" s="7" t="e">
        <f>MAX(0, F118*(IF(I118="",Configuración!$B$3,I118) + IF(J118="",Configuración!$B$4,J118)) - (G118+H118))</f>
        <v>#REF!</v>
      </c>
      <c r="N118" s="5" t="e">
        <f>IF(IF(K118="",Configuración!$B$5,K118)&gt;0, CEILING(M118, IF(K118="",Configuración!$B$5,K118)), ROUNDUP(M118,0))</f>
        <v>#REF!</v>
      </c>
      <c r="O118" s="5">
        <v>24</v>
      </c>
      <c r="P118" s="14" t="e">
        <f>VLOOKUP(Tabla2[[#This Row],[Código country]],#REF!,7,0)*Tabla2[[#This Row],[PEDIDO FINAL]]</f>
        <v>#REF!</v>
      </c>
    </row>
    <row r="119" spans="1:16" ht="18" hidden="1" x14ac:dyDescent="0.3">
      <c r="A119" s="5">
        <v>31090</v>
      </c>
      <c r="B119" s="5">
        <v>3181</v>
      </c>
      <c r="C119" s="5" t="s">
        <v>161</v>
      </c>
      <c r="D119" s="7" t="e">
        <f>VLOOKUP(Tabla2[[#This Row],[Código country]],#REF!,4,0)</f>
        <v>#REF!</v>
      </c>
      <c r="E119" s="5">
        <v>191</v>
      </c>
      <c r="F119" s="7">
        <f>IFERROR(D119/IF(E119="",Configuración!$B$2,E119),0)</f>
        <v>0</v>
      </c>
      <c r="G119" s="5" t="e">
        <f>VLOOKUP(Tabla2[[#This Row],[Código country]],#REF!,8,0)</f>
        <v>#REF!</v>
      </c>
      <c r="H119" s="5"/>
      <c r="I119" s="5">
        <v>5</v>
      </c>
      <c r="J119" s="5">
        <v>3.5</v>
      </c>
      <c r="K119" s="5">
        <v>90</v>
      </c>
      <c r="L119" s="7">
        <f t="shared" si="3"/>
        <v>0</v>
      </c>
      <c r="M119" s="7" t="e">
        <f>MAX(0, F119*(IF(I119="",Configuración!$B$3,I119) + IF(J119="",Configuración!$B$4,J119)) - (G119+H119))</f>
        <v>#REF!</v>
      </c>
      <c r="N119" s="5" t="e">
        <f>IF(IF(K119="",Configuración!$B$5,K119)&gt;0, CEILING(M119, IF(K119="",Configuración!$B$5,K119)), ROUNDUP(M119,0))</f>
        <v>#REF!</v>
      </c>
      <c r="O119" s="5"/>
      <c r="P119" s="14" t="e">
        <f>VLOOKUP(Tabla2[[#This Row],[Código country]],#REF!,7,0)*Tabla2[[#This Row],[PEDIDO FINAL]]</f>
        <v>#REF!</v>
      </c>
    </row>
    <row r="120" spans="1:16" ht="18" hidden="1" x14ac:dyDescent="0.3">
      <c r="A120" s="5">
        <v>3344</v>
      </c>
      <c r="B120" s="5" t="s">
        <v>72</v>
      </c>
      <c r="C120" s="5" t="s">
        <v>162</v>
      </c>
      <c r="D120" s="7" t="e">
        <f>VLOOKUP(Tabla2[[#This Row],[Código country]],#REF!,4,0)</f>
        <v>#REF!</v>
      </c>
      <c r="E120" s="5">
        <v>191</v>
      </c>
      <c r="F120" s="7">
        <f>IFERROR(D120/IF(E120="",Configuración!$B$2,E120),0)</f>
        <v>0</v>
      </c>
      <c r="G120" s="5" t="e">
        <f>VLOOKUP(Tabla2[[#This Row],[Código country]],#REF!,8,0)</f>
        <v>#REF!</v>
      </c>
      <c r="H120" s="5"/>
      <c r="I120" s="5">
        <v>5</v>
      </c>
      <c r="J120" s="5">
        <v>3.5</v>
      </c>
      <c r="K120" s="5">
        <v>1</v>
      </c>
      <c r="L120" s="7">
        <f t="shared" si="3"/>
        <v>0</v>
      </c>
      <c r="M120" s="7" t="e">
        <f>MAX(0, F120*(IF(I120="",Configuración!$B$3,I120) + IF(J120="",Configuración!$B$4,J120)) - (G120+H120))</f>
        <v>#REF!</v>
      </c>
      <c r="N120" s="5" t="e">
        <f>IF(IF(K120="",Configuración!$B$5,K120)&gt;0, CEILING(M120, IF(K120="",Configuración!$B$5,K120)), ROUNDUP(M120,0))</f>
        <v>#REF!</v>
      </c>
      <c r="O120" s="5"/>
      <c r="P120" s="14" t="e">
        <f>VLOOKUP(Tabla2[[#This Row],[Código country]],#REF!,7,0)*Tabla2[[#This Row],[PEDIDO FINAL]]</f>
        <v>#REF!</v>
      </c>
    </row>
    <row r="121" spans="1:16" ht="18" hidden="1" x14ac:dyDescent="0.3">
      <c r="A121" s="5">
        <v>11561</v>
      </c>
      <c r="B121" s="5">
        <v>11561</v>
      </c>
      <c r="C121" s="5" t="s">
        <v>163</v>
      </c>
      <c r="D121" s="7" t="e">
        <f>VLOOKUP(Tabla2[[#This Row],[Código country]],#REF!,4,0)</f>
        <v>#REF!</v>
      </c>
      <c r="E121" s="5">
        <v>191</v>
      </c>
      <c r="F121" s="7">
        <f>IFERROR(D121/IF(E121="",Configuración!$B$2,E121),0)</f>
        <v>0</v>
      </c>
      <c r="G121" s="5" t="e">
        <f>VLOOKUP(Tabla2[[#This Row],[Código country]],#REF!,8,0)</f>
        <v>#REF!</v>
      </c>
      <c r="H121" s="5">
        <v>12</v>
      </c>
      <c r="I121" s="5">
        <v>3</v>
      </c>
      <c r="J121" s="5">
        <v>3.5</v>
      </c>
      <c r="K121" s="5">
        <v>1</v>
      </c>
      <c r="L121" s="7">
        <f t="shared" si="3"/>
        <v>0</v>
      </c>
      <c r="M121" s="7" t="e">
        <f>MAX(0, F121*(IF(I121="",Configuración!$B$3,I121) + IF(J121="",Configuración!$B$4,J121)) - (G121+H121))</f>
        <v>#REF!</v>
      </c>
      <c r="N121" s="5" t="e">
        <f>IF(IF(K121="",Configuración!$B$5,K121)&gt;0, CEILING(M121, IF(K121="",Configuración!$B$5,K121)), ROUNDUP(M121,0))</f>
        <v>#REF!</v>
      </c>
      <c r="O121" s="5"/>
      <c r="P121" s="14" t="e">
        <f>VLOOKUP(Tabla2[[#This Row],[Código country]],#REF!,7,0)*Tabla2[[#This Row],[PEDIDO FINAL]]</f>
        <v>#REF!</v>
      </c>
    </row>
    <row r="122" spans="1:16" ht="18" x14ac:dyDescent="0.3">
      <c r="A122" s="5" t="s">
        <v>73</v>
      </c>
      <c r="B122" s="5" t="s">
        <v>73</v>
      </c>
      <c r="C122" s="5" t="s">
        <v>164</v>
      </c>
      <c r="D122" s="7" t="e">
        <f>VLOOKUP(Tabla2[[#This Row],[Código country]],#REF!,4,0)</f>
        <v>#REF!</v>
      </c>
      <c r="E122" s="5">
        <v>191</v>
      </c>
      <c r="F122" s="7">
        <f>IFERROR(D122/IF(E122="",Configuración!$B$2,E122),0)</f>
        <v>0</v>
      </c>
      <c r="G122" s="5" t="e">
        <f>VLOOKUP(Tabla2[[#This Row],[Código country]],#REF!,8,0)</f>
        <v>#REF!</v>
      </c>
      <c r="H122" s="5">
        <v>30</v>
      </c>
      <c r="I122" s="5">
        <v>5</v>
      </c>
      <c r="J122" s="5">
        <v>3.5</v>
      </c>
      <c r="K122" s="5">
        <v>25</v>
      </c>
      <c r="L122" s="7">
        <f t="shared" si="3"/>
        <v>0</v>
      </c>
      <c r="M122" s="7" t="e">
        <f>MAX(0, F122*(IF(I122="",Configuración!$B$3,I122) + IF(J122="",Configuración!$B$4,J122)) - (G122+H122))</f>
        <v>#REF!</v>
      </c>
      <c r="N122" s="5" t="e">
        <f>IF(IF(K122="",Configuración!$B$5,K122)&gt;0, CEILING(M122, IF(K122="",Configuración!$B$5,K122)), ROUNDUP(M122,0))</f>
        <v>#REF!</v>
      </c>
      <c r="O122" s="5">
        <v>30</v>
      </c>
      <c r="P122" s="14" t="e">
        <f>VLOOKUP(Tabla2[[#This Row],[Código country]],#REF!,7,0)*Tabla2[[#This Row],[PEDIDO FINAL]]</f>
        <v>#REF!</v>
      </c>
    </row>
    <row r="123" spans="1:16" ht="18" hidden="1" x14ac:dyDescent="0.3">
      <c r="A123" s="5">
        <v>145168</v>
      </c>
      <c r="B123" s="5">
        <v>145168</v>
      </c>
      <c r="C123" s="5" t="s">
        <v>165</v>
      </c>
      <c r="D123" s="7" t="e">
        <f>VLOOKUP(Tabla2[[#This Row],[Código country]],#REF!,4,0)</f>
        <v>#REF!</v>
      </c>
      <c r="E123" s="5">
        <v>191</v>
      </c>
      <c r="F123" s="7">
        <f>IFERROR(D123/IF(E123="",Configuración!$B$2,E123),0)</f>
        <v>0</v>
      </c>
      <c r="G123" s="5" t="e">
        <f>VLOOKUP(Tabla2[[#This Row],[Código country]],#REF!,8,0)</f>
        <v>#REF!</v>
      </c>
      <c r="H123" s="5">
        <v>100</v>
      </c>
      <c r="I123" s="5">
        <v>5</v>
      </c>
      <c r="J123" s="5">
        <v>3.5</v>
      </c>
      <c r="K123" s="5">
        <v>10</v>
      </c>
      <c r="L123" s="7">
        <f t="shared" si="3"/>
        <v>0</v>
      </c>
      <c r="M123" s="7" t="e">
        <f>MAX(0, F123*(IF(I123="",Configuración!$B$3,I123) + IF(J123="",Configuración!$B$4,J123)) - (G123+H123))</f>
        <v>#REF!</v>
      </c>
      <c r="N123" s="5" t="e">
        <f>IF(IF(K123="",Configuración!$B$5,K123)&gt;0, CEILING(M123, IF(K123="",Configuración!$B$5,K123)), ROUNDUP(M123,0))</f>
        <v>#REF!</v>
      </c>
      <c r="O123" s="5"/>
      <c r="P123" s="14" t="e">
        <f>VLOOKUP(Tabla2[[#This Row],[Código country]],#REF!,7,0)*Tabla2[[#This Row],[PEDIDO FINAL]]</f>
        <v>#REF!</v>
      </c>
    </row>
    <row r="124" spans="1:16" ht="18" x14ac:dyDescent="0.3">
      <c r="A124" s="5">
        <v>145174</v>
      </c>
      <c r="B124" s="5">
        <v>145174</v>
      </c>
      <c r="C124" s="5" t="s">
        <v>166</v>
      </c>
      <c r="D124" s="7" t="e">
        <f>VLOOKUP(Tabla2[[#This Row],[Código country]],#REF!,4,0)</f>
        <v>#REF!</v>
      </c>
      <c r="E124" s="5">
        <v>191</v>
      </c>
      <c r="F124" s="7">
        <f>IFERROR(D124/IF(E124="",Configuración!$B$2,E124),0)</f>
        <v>0</v>
      </c>
      <c r="G124" s="5" t="e">
        <f>VLOOKUP(Tabla2[[#This Row],[Código country]],#REF!,8,0)</f>
        <v>#REF!</v>
      </c>
      <c r="H124" s="5">
        <v>630</v>
      </c>
      <c r="I124" s="5">
        <v>6</v>
      </c>
      <c r="J124" s="5">
        <v>3.5</v>
      </c>
      <c r="K124" s="5">
        <v>35</v>
      </c>
      <c r="L124" s="7">
        <f t="shared" si="3"/>
        <v>0</v>
      </c>
      <c r="M124" s="7" t="e">
        <f>MAX(0, F124*(IF(I124="",Configuración!$B$3,I124) + IF(J124="",Configuración!$B$4,J124)) - (G124+H124))</f>
        <v>#REF!</v>
      </c>
      <c r="N124" s="5" t="e">
        <f>IF(IF(K124="",Configuración!$B$5,K124)&gt;0, CEILING(M124, IF(K124="",Configuración!$B$5,K124)), ROUNDUP(M124,0))</f>
        <v>#REF!</v>
      </c>
      <c r="O124" s="5">
        <v>315</v>
      </c>
      <c r="P124" s="14" t="e">
        <f>VLOOKUP(Tabla2[[#This Row],[Código country]],#REF!,7,0)*Tabla2[[#This Row],[PEDIDO FINAL]]</f>
        <v>#REF!</v>
      </c>
    </row>
    <row r="125" spans="1:16" ht="18" x14ac:dyDescent="0.3">
      <c r="A125" s="5">
        <v>14547</v>
      </c>
      <c r="B125" s="5">
        <v>14547</v>
      </c>
      <c r="C125" s="5" t="s">
        <v>167</v>
      </c>
      <c r="D125" s="7" t="e">
        <f>VLOOKUP(Tabla2[[#This Row],[Código country]],#REF!,4,0)</f>
        <v>#REF!</v>
      </c>
      <c r="E125" s="5">
        <v>191</v>
      </c>
      <c r="F125" s="7">
        <f>IFERROR(D125/IF(E125="",Configuración!$B$2,E125),0)</f>
        <v>0</v>
      </c>
      <c r="G125" s="5" t="e">
        <f>VLOOKUP(Tabla2[[#This Row],[Código country]],#REF!,8,0)</f>
        <v>#REF!</v>
      </c>
      <c r="H125" s="5"/>
      <c r="I125" s="5">
        <v>5</v>
      </c>
      <c r="J125" s="5">
        <v>3.5</v>
      </c>
      <c r="K125" s="5">
        <v>1</v>
      </c>
      <c r="L125" s="7">
        <f t="shared" si="3"/>
        <v>0</v>
      </c>
      <c r="M125" s="7" t="e">
        <f>MAX(0, F125*(IF(I125="",Configuración!$B$3,I125) + IF(J125="",Configuración!$B$4,J125)) - (G125+H125))</f>
        <v>#REF!</v>
      </c>
      <c r="N125" s="5" t="e">
        <f>IF(IF(K125="",Configuración!$B$5,K125)&gt;0, CEILING(M125, IF(K125="",Configuración!$B$5,K125)), ROUNDUP(M125,0))</f>
        <v>#REF!</v>
      </c>
      <c r="O125" s="5">
        <v>1</v>
      </c>
      <c r="P125" s="14" t="e">
        <f>VLOOKUP(Tabla2[[#This Row],[Código country]],#REF!,7,0)*Tabla2[[#This Row],[PEDIDO FINAL]]</f>
        <v>#REF!</v>
      </c>
    </row>
    <row r="126" spans="1:16" ht="18" hidden="1" x14ac:dyDescent="0.3">
      <c r="A126" s="5" t="s">
        <v>74</v>
      </c>
      <c r="B126" s="5" t="s">
        <v>74</v>
      </c>
      <c r="C126" s="5" t="s">
        <v>168</v>
      </c>
      <c r="D126" s="7" t="e">
        <f>VLOOKUP(Tabla2[[#This Row],[Código country]],#REF!,4,0)</f>
        <v>#REF!</v>
      </c>
      <c r="E126" s="5">
        <v>191</v>
      </c>
      <c r="F126" s="7">
        <f>IFERROR(D126/IF(E126="",Configuración!$B$2,E126),0)</f>
        <v>0</v>
      </c>
      <c r="G126" s="5" t="e">
        <f>VLOOKUP(Tabla2[[#This Row],[Código country]],#REF!,8,0)</f>
        <v>#REF!</v>
      </c>
      <c r="H126" s="5">
        <v>12</v>
      </c>
      <c r="I126" s="5">
        <v>3</v>
      </c>
      <c r="J126" s="5">
        <v>3.5</v>
      </c>
      <c r="K126" s="5">
        <v>12</v>
      </c>
      <c r="L126" s="7">
        <f t="shared" si="3"/>
        <v>0</v>
      </c>
      <c r="M126" s="7" t="e">
        <f>MAX(0, F126*(IF(I126="",Configuración!$B$3,I126) + IF(J126="",Configuración!$B$4,J126)) - (G126+H126))</f>
        <v>#REF!</v>
      </c>
      <c r="N126" s="5" t="e">
        <f>IF(IF(K126="",Configuración!$B$5,K126)&gt;0, CEILING(M126, IF(K126="",Configuración!$B$5,K126)), ROUNDUP(M126,0))</f>
        <v>#REF!</v>
      </c>
      <c r="O126" s="5"/>
      <c r="P126" s="14" t="e">
        <f>VLOOKUP(Tabla2[[#This Row],[Código country]],#REF!,7,0)*Tabla2[[#This Row],[PEDIDO FINAL]]</f>
        <v>#REF!</v>
      </c>
    </row>
    <row r="127" spans="1:16" ht="18" hidden="1" x14ac:dyDescent="0.3">
      <c r="A127" s="5">
        <v>13543</v>
      </c>
      <c r="B127" s="5">
        <v>13543</v>
      </c>
      <c r="C127" s="5" t="s">
        <v>54</v>
      </c>
      <c r="D127" s="7" t="e">
        <f>VLOOKUP(Tabla2[[#This Row],[Código country]],#REF!,4,0)</f>
        <v>#REF!</v>
      </c>
      <c r="E127" s="5">
        <v>191</v>
      </c>
      <c r="F127" s="7">
        <f>IFERROR(D127/IF(E127="",Configuración!$B$2,E127),0)</f>
        <v>0</v>
      </c>
      <c r="G127" s="5" t="e">
        <f>VLOOKUP(Tabla2[[#This Row],[Código country]],#REF!,8,0)</f>
        <v>#REF!</v>
      </c>
      <c r="H127" s="5"/>
      <c r="I127" s="5">
        <v>3</v>
      </c>
      <c r="J127" s="5">
        <v>3.5</v>
      </c>
      <c r="K127" s="5">
        <v>6</v>
      </c>
      <c r="L127" s="7">
        <f t="shared" si="3"/>
        <v>0</v>
      </c>
      <c r="M127" s="7" t="e">
        <f>MAX(0, F127*(IF(I127="",Configuración!$B$3,I127) + IF(J127="",Configuración!$B$4,J127)) - (G127+H127))</f>
        <v>#REF!</v>
      </c>
      <c r="N127" s="5" t="e">
        <f>IF(IF(K127="",Configuración!$B$5,K127)&gt;0, CEILING(M127, IF(K127="",Configuración!$B$5,K127)), ROUNDUP(M127,0))</f>
        <v>#REF!</v>
      </c>
      <c r="O127" s="5"/>
      <c r="P127" s="14" t="e">
        <f>VLOOKUP(Tabla2[[#This Row],[Código country]],#REF!,7,0)*Tabla2[[#This Row],[PEDIDO FINAL]]</f>
        <v>#REF!</v>
      </c>
    </row>
    <row r="128" spans="1:16" ht="18" x14ac:dyDescent="0.3">
      <c r="A128" s="5">
        <v>13553</v>
      </c>
      <c r="B128" s="5">
        <v>13553</v>
      </c>
      <c r="C128" s="5" t="s">
        <v>169</v>
      </c>
      <c r="D128" s="7" t="e">
        <f>VLOOKUP(Tabla2[[#This Row],[Código country]],#REF!,4,0)</f>
        <v>#REF!</v>
      </c>
      <c r="E128" s="5">
        <v>191</v>
      </c>
      <c r="F128" s="7">
        <f>IFERROR(D128/IF(E128="",Configuración!$B$2,E128),0)</f>
        <v>0</v>
      </c>
      <c r="G128" s="5" t="e">
        <f>VLOOKUP(Tabla2[[#This Row],[Código country]],#REF!,8,0)</f>
        <v>#REF!</v>
      </c>
      <c r="H128" s="5"/>
      <c r="I128" s="5">
        <v>3</v>
      </c>
      <c r="J128" s="5">
        <v>3.5</v>
      </c>
      <c r="K128" s="5">
        <v>20</v>
      </c>
      <c r="L128" s="7">
        <f t="shared" si="3"/>
        <v>0</v>
      </c>
      <c r="M128" s="7" t="e">
        <f>MAX(0, F128*(IF(I128="",Configuración!$B$3,I128) + IF(J128="",Configuración!$B$4,J128)) - (G128+H128))</f>
        <v>#REF!</v>
      </c>
      <c r="N128" s="5" t="e">
        <f>IF(IF(K128="",Configuración!$B$5,K128)&gt;0, CEILING(M128, IF(K128="",Configuración!$B$5,K128)), ROUNDUP(M128,0))</f>
        <v>#REF!</v>
      </c>
      <c r="O128" s="5">
        <v>10</v>
      </c>
      <c r="P128" s="14" t="e">
        <f>VLOOKUP(Tabla2[[#This Row],[Código country]],#REF!,7,0)*Tabla2[[#This Row],[PEDIDO FINAL]]</f>
        <v>#REF!</v>
      </c>
    </row>
    <row r="129" spans="1:16" ht="18" x14ac:dyDescent="0.3">
      <c r="A129" s="5">
        <v>125142</v>
      </c>
      <c r="B129" s="5">
        <v>125142</v>
      </c>
      <c r="C129" s="5" t="s">
        <v>170</v>
      </c>
      <c r="D129" s="7" t="e">
        <f>VLOOKUP(Tabla2[[#This Row],[Código country]],#REF!,4,0)</f>
        <v>#REF!</v>
      </c>
      <c r="E129" s="5">
        <v>191</v>
      </c>
      <c r="F129" s="7">
        <f>IFERROR(D129/IF(E129="",Configuración!$B$2,E129),0)</f>
        <v>0</v>
      </c>
      <c r="G129" s="5" t="e">
        <f>VLOOKUP(Tabla2[[#This Row],[Código country]],#REF!,8,0)</f>
        <v>#REF!</v>
      </c>
      <c r="H129" s="5">
        <v>80</v>
      </c>
      <c r="I129" s="5">
        <v>7</v>
      </c>
      <c r="J129" s="5">
        <v>3.5</v>
      </c>
      <c r="K129" s="5">
        <v>10</v>
      </c>
      <c r="L129" s="7">
        <f t="shared" si="3"/>
        <v>0</v>
      </c>
      <c r="M129" s="7" t="e">
        <f>MAX(0, F129*(IF(I129="",Configuración!$B$3,I129) + IF(J129="",Configuración!$B$4,J129)) - (G129+H129))</f>
        <v>#REF!</v>
      </c>
      <c r="N129" s="5" t="e">
        <f>IF(IF(K129="",Configuración!$B$5,K129)&gt;0, CEILING(M129, IF(K129="",Configuración!$B$5,K129)), ROUNDUP(M129,0))</f>
        <v>#REF!</v>
      </c>
      <c r="O129" s="5">
        <v>100</v>
      </c>
      <c r="P129" s="14" t="e">
        <f>VLOOKUP(Tabla2[[#This Row],[Código country]],#REF!,7,0)*Tabla2[[#This Row],[PEDIDO FINAL]]</f>
        <v>#REF!</v>
      </c>
    </row>
    <row r="130" spans="1:16" ht="18" x14ac:dyDescent="0.3">
      <c r="A130" s="5">
        <v>125143</v>
      </c>
      <c r="B130" s="5">
        <v>125143</v>
      </c>
      <c r="C130" s="5" t="s">
        <v>55</v>
      </c>
      <c r="D130" s="7" t="e">
        <f>VLOOKUP(Tabla2[[#This Row],[Código country]],#REF!,4,0)</f>
        <v>#REF!</v>
      </c>
      <c r="E130" s="5">
        <v>191</v>
      </c>
      <c r="F130" s="7">
        <f>IFERROR(D130/IF(E130="",Configuración!$B$2,E130),0)</f>
        <v>0</v>
      </c>
      <c r="G130" s="5" t="e">
        <f>VLOOKUP(Tabla2[[#This Row],[Código country]],#REF!,8,0)</f>
        <v>#REF!</v>
      </c>
      <c r="H130" s="5">
        <v>20</v>
      </c>
      <c r="I130" s="5">
        <v>6</v>
      </c>
      <c r="J130" s="5">
        <v>3.5</v>
      </c>
      <c r="K130" s="5">
        <v>10</v>
      </c>
      <c r="L130" s="7">
        <f t="shared" ref="L130:L156" si="4">IFERROR((G130+H130+O130)/F130,0)</f>
        <v>0</v>
      </c>
      <c r="M130" s="7" t="e">
        <f>MAX(0, F130*(IF(I130="",Configuración!$B$3,I130) + IF(J130="",Configuración!$B$4,J130)) - (G130+H130))</f>
        <v>#REF!</v>
      </c>
      <c r="N130" s="5" t="e">
        <f>IF(IF(K130="",Configuración!$B$5,K130)&gt;0, CEILING(M130, IF(K130="",Configuración!$B$5,K130)), ROUNDUP(M130,0))</f>
        <v>#REF!</v>
      </c>
      <c r="O130" s="5">
        <v>20</v>
      </c>
      <c r="P130" s="14" t="e">
        <f>VLOOKUP(Tabla2[[#This Row],[Código country]],#REF!,7,0)*Tabla2[[#This Row],[PEDIDO FINAL]]</f>
        <v>#REF!</v>
      </c>
    </row>
    <row r="131" spans="1:16" ht="18" x14ac:dyDescent="0.3">
      <c r="A131" s="5">
        <v>13560</v>
      </c>
      <c r="B131" s="5">
        <v>13560</v>
      </c>
      <c r="C131" s="5" t="s">
        <v>171</v>
      </c>
      <c r="D131" s="7" t="e">
        <f>VLOOKUP(Tabla2[[#This Row],[Código country]],#REF!,4,0)</f>
        <v>#REF!</v>
      </c>
      <c r="E131" s="5">
        <v>191</v>
      </c>
      <c r="F131" s="7">
        <f>IFERROR(D131/IF(E131="",Configuración!$B$2,E131),0)</f>
        <v>0</v>
      </c>
      <c r="G131" s="5" t="e">
        <f>VLOOKUP(Tabla2[[#This Row],[Código country]],#REF!,8,0)</f>
        <v>#REF!</v>
      </c>
      <c r="H131" s="5"/>
      <c r="I131" s="5">
        <v>3</v>
      </c>
      <c r="J131" s="5">
        <v>3.5</v>
      </c>
      <c r="K131" s="5">
        <v>1</v>
      </c>
      <c r="L131" s="7">
        <f t="shared" si="4"/>
        <v>0</v>
      </c>
      <c r="M131" s="7" t="e">
        <f>MAX(0, F131*(IF(I131="",Configuración!$B$3,I131) + IF(J131="",Configuración!$B$4,J131)) - (G131+H131))</f>
        <v>#REF!</v>
      </c>
      <c r="N131" s="5" t="e">
        <f>IF(IF(K131="",Configuración!$B$5,K131)&gt;0, CEILING(M131, IF(K131="",Configuración!$B$5,K131)), ROUNDUP(M131,0))</f>
        <v>#REF!</v>
      </c>
      <c r="O131" s="5">
        <v>6</v>
      </c>
      <c r="P131" s="14" t="e">
        <f>VLOOKUP(Tabla2[[#This Row],[Código country]],#REF!,7,0)*Tabla2[[#This Row],[PEDIDO FINAL]]</f>
        <v>#REF!</v>
      </c>
    </row>
    <row r="132" spans="1:16" ht="18" x14ac:dyDescent="0.3">
      <c r="A132" s="5" t="s">
        <v>75</v>
      </c>
      <c r="B132" s="5">
        <v>145182</v>
      </c>
      <c r="C132" s="5" t="s">
        <v>172</v>
      </c>
      <c r="D132" s="7" t="e">
        <f>VLOOKUP(Tabla2[[#This Row],[Código country]],#REF!,4,0)</f>
        <v>#REF!</v>
      </c>
      <c r="E132" s="5">
        <v>191</v>
      </c>
      <c r="F132" s="7">
        <f>IFERROR(D132/IF(E132="",Configuración!$B$2,E132),0)</f>
        <v>0</v>
      </c>
      <c r="G132" s="5" t="e">
        <f>VLOOKUP(Tabla2[[#This Row],[Código country]],#REF!,8,0)</f>
        <v>#REF!</v>
      </c>
      <c r="H132" s="5"/>
      <c r="I132" s="5">
        <v>5</v>
      </c>
      <c r="J132" s="5">
        <v>3.5</v>
      </c>
      <c r="K132" s="5">
        <v>1</v>
      </c>
      <c r="L132" s="7">
        <f t="shared" si="4"/>
        <v>0</v>
      </c>
      <c r="M132" s="7" t="e">
        <f>MAX(0, F132*(IF(I132="",Configuración!$B$3,I132) + IF(J132="",Configuración!$B$4,J132)) - (G132+H132))</f>
        <v>#REF!</v>
      </c>
      <c r="N132" s="5" t="e">
        <f>IF(IF(K132="",Configuración!$B$5,K132)&gt;0, CEILING(M132, IF(K132="",Configuración!$B$5,K132)), ROUNDUP(M132,0))</f>
        <v>#REF!</v>
      </c>
      <c r="O132" s="5">
        <v>40</v>
      </c>
      <c r="P132" s="14" t="e">
        <f>VLOOKUP(Tabla2[[#This Row],[Código country]],#REF!,7,0)*Tabla2[[#This Row],[PEDIDO FINAL]]</f>
        <v>#REF!</v>
      </c>
    </row>
    <row r="133" spans="1:16" ht="18" x14ac:dyDescent="0.3">
      <c r="A133" s="5">
        <v>125130</v>
      </c>
      <c r="B133" s="5">
        <v>125130</v>
      </c>
      <c r="C133" s="5" t="s">
        <v>173</v>
      </c>
      <c r="D133" s="7" t="e">
        <f>VLOOKUP(Tabla2[[#This Row],[Código country]],#REF!,4,0)</f>
        <v>#REF!</v>
      </c>
      <c r="E133" s="5">
        <v>191</v>
      </c>
      <c r="F133" s="7">
        <f>IFERROR(D133/IF(E133="",Configuración!$B$2,E133),0)</f>
        <v>0</v>
      </c>
      <c r="G133" s="5" t="e">
        <f>VLOOKUP(Tabla2[[#This Row],[Código country]],#REF!,8,0)</f>
        <v>#REF!</v>
      </c>
      <c r="H133" s="5"/>
      <c r="I133" s="5">
        <v>5</v>
      </c>
      <c r="J133" s="5">
        <v>3.5</v>
      </c>
      <c r="K133" s="5">
        <v>1</v>
      </c>
      <c r="L133" s="7">
        <f t="shared" si="4"/>
        <v>0</v>
      </c>
      <c r="M133" s="7" t="e">
        <f>MAX(0, F133*(IF(I133="",Configuración!$B$3,I133) + IF(J133="",Configuración!$B$4,J133)) - (G133+H133))</f>
        <v>#REF!</v>
      </c>
      <c r="N133" s="5" t="e">
        <f>IF(IF(K133="",Configuración!$B$5,K133)&gt;0, CEILING(M133, IF(K133="",Configuración!$B$5,K133)), ROUNDUP(M133,0))</f>
        <v>#REF!</v>
      </c>
      <c r="O133" s="5">
        <v>2</v>
      </c>
      <c r="P133" s="14" t="e">
        <f>VLOOKUP(Tabla2[[#This Row],[Código country]],#REF!,7,0)*Tabla2[[#This Row],[PEDIDO FINAL]]</f>
        <v>#REF!</v>
      </c>
    </row>
    <row r="134" spans="1:16" ht="18" x14ac:dyDescent="0.3">
      <c r="A134" s="5">
        <v>13568</v>
      </c>
      <c r="B134" s="5">
        <v>13568</v>
      </c>
      <c r="C134" s="5" t="s">
        <v>174</v>
      </c>
      <c r="D134" s="7" t="e">
        <f>VLOOKUP(Tabla2[[#This Row],[Código country]],#REF!,4,0)</f>
        <v>#REF!</v>
      </c>
      <c r="E134" s="5">
        <v>191</v>
      </c>
      <c r="F134" s="7">
        <f>IFERROR(D134/IF(E134="",Configuración!$B$2,E134),0)</f>
        <v>0</v>
      </c>
      <c r="G134" s="5" t="e">
        <f>VLOOKUP(Tabla2[[#This Row],[Código country]],#REF!,8,0)</f>
        <v>#REF!</v>
      </c>
      <c r="H134" s="5"/>
      <c r="I134" s="5">
        <v>5</v>
      </c>
      <c r="J134" s="5">
        <v>3.5</v>
      </c>
      <c r="K134" s="5">
        <v>1</v>
      </c>
      <c r="L134" s="7">
        <f t="shared" si="4"/>
        <v>0</v>
      </c>
      <c r="M134" s="7" t="e">
        <f>MAX(0, F134*(IF(I134="",Configuración!$B$3,I134) + IF(J134="",Configuración!$B$4,J134)) - (G134+H134))</f>
        <v>#REF!</v>
      </c>
      <c r="N134" s="5" t="e">
        <f>IF(IF(K134="",Configuración!$B$5,K134)&gt;0, CEILING(M134, IF(K134="",Configuración!$B$5,K134)), ROUNDUP(M134,0))</f>
        <v>#REF!</v>
      </c>
      <c r="O134" s="5">
        <v>20</v>
      </c>
      <c r="P134" s="14" t="e">
        <f>VLOOKUP(Tabla2[[#This Row],[Código country]],#REF!,7,0)*Tabla2[[#This Row],[PEDIDO FINAL]]</f>
        <v>#REF!</v>
      </c>
    </row>
    <row r="135" spans="1:16" ht="18" hidden="1" x14ac:dyDescent="0.3">
      <c r="A135" s="5">
        <v>145191</v>
      </c>
      <c r="B135" s="5">
        <v>145191</v>
      </c>
      <c r="C135" s="5" t="s">
        <v>57</v>
      </c>
      <c r="D135" s="7" t="e">
        <f>VLOOKUP(Tabla2[[#This Row],[Código country]],#REF!,4,0)</f>
        <v>#REF!</v>
      </c>
      <c r="E135" s="5">
        <v>191</v>
      </c>
      <c r="F135" s="7">
        <f>IFERROR(D135/IF(E135="",Configuración!$B$2,E135),0)</f>
        <v>0</v>
      </c>
      <c r="G135" s="5" t="e">
        <f>VLOOKUP(Tabla2[[#This Row],[Código country]],#REF!,8,0)</f>
        <v>#REF!</v>
      </c>
      <c r="H135" s="5"/>
      <c r="I135" s="5">
        <v>5</v>
      </c>
      <c r="J135" s="5">
        <v>3.5</v>
      </c>
      <c r="K135" s="5">
        <v>1</v>
      </c>
      <c r="L135" s="7">
        <f t="shared" si="4"/>
        <v>0</v>
      </c>
      <c r="M135" s="7" t="e">
        <f>MAX(0, F135*(IF(I135="",Configuración!$B$3,I135) + IF(J135="",Configuración!$B$4,J135)) - (G135+H135))</f>
        <v>#REF!</v>
      </c>
      <c r="N135" s="5" t="e">
        <f>IF(IF(K135="",Configuración!$B$5,K135)&gt;0, CEILING(M135, IF(K135="",Configuración!$B$5,K135)), ROUNDUP(M135,0))</f>
        <v>#REF!</v>
      </c>
      <c r="O135" s="5"/>
      <c r="P135" s="14" t="e">
        <f>VLOOKUP(Tabla2[[#This Row],[Código country]],#REF!,7,0)*Tabla2[[#This Row],[PEDIDO FINAL]]</f>
        <v>#REF!</v>
      </c>
    </row>
    <row r="136" spans="1:16" ht="18" hidden="1" x14ac:dyDescent="0.3">
      <c r="A136" s="5">
        <v>411</v>
      </c>
      <c r="B136" s="5">
        <v>781</v>
      </c>
      <c r="C136" s="5" t="s">
        <v>58</v>
      </c>
      <c r="D136" s="7" t="e">
        <f>VLOOKUP(Tabla2[[#This Row],[Código country]],#REF!,4,0)</f>
        <v>#REF!</v>
      </c>
      <c r="E136" s="5">
        <v>191</v>
      </c>
      <c r="F136" s="7">
        <f>IFERROR(D136/IF(E136="",Configuración!$B$2,E136),0)</f>
        <v>0</v>
      </c>
      <c r="G136" s="5" t="e">
        <f>VLOOKUP(Tabla2[[#This Row],[Código country]],#REF!,8,0)</f>
        <v>#REF!</v>
      </c>
      <c r="H136" s="5"/>
      <c r="I136" s="5">
        <v>5</v>
      </c>
      <c r="J136" s="5">
        <v>3.5</v>
      </c>
      <c r="K136" s="5">
        <v>12</v>
      </c>
      <c r="L136" s="7">
        <f t="shared" si="4"/>
        <v>0</v>
      </c>
      <c r="M136" s="7" t="e">
        <f>MAX(0, F136*(IF(I136="",Configuración!$B$3,I136) + IF(J136="",Configuración!$B$4,J136)) - (G136+H136))</f>
        <v>#REF!</v>
      </c>
      <c r="N136" s="5" t="e">
        <f>IF(IF(K136="",Configuración!$B$5,K136)&gt;0, CEILING(M136, IF(K136="",Configuración!$B$5,K136)), ROUNDUP(M136,0))</f>
        <v>#REF!</v>
      </c>
      <c r="O136" s="5"/>
      <c r="P136" s="14" t="e">
        <f>VLOOKUP(Tabla2[[#This Row],[Código country]],#REF!,7,0)*Tabla2[[#This Row],[PEDIDO FINAL]]</f>
        <v>#REF!</v>
      </c>
    </row>
    <row r="137" spans="1:16" ht="18" hidden="1" x14ac:dyDescent="0.3">
      <c r="A137" s="5">
        <v>13561</v>
      </c>
      <c r="B137" s="5">
        <v>13561</v>
      </c>
      <c r="C137" s="5" t="s">
        <v>59</v>
      </c>
      <c r="D137" s="7" t="e">
        <f>VLOOKUP(Tabla2[[#This Row],[Código country]],#REF!,4,0)</f>
        <v>#REF!</v>
      </c>
      <c r="E137" s="5">
        <v>191</v>
      </c>
      <c r="F137" s="7">
        <f>IFERROR(D137/IF(E137="",Configuración!$B$2,E137),0)</f>
        <v>0</v>
      </c>
      <c r="G137" s="5" t="e">
        <f>VLOOKUP(Tabla2[[#This Row],[Código country]],#REF!,8,0)</f>
        <v>#REF!</v>
      </c>
      <c r="H137" s="5">
        <v>10</v>
      </c>
      <c r="I137" s="5">
        <v>5</v>
      </c>
      <c r="J137" s="5">
        <v>3.5</v>
      </c>
      <c r="K137" s="5">
        <v>5</v>
      </c>
      <c r="L137" s="7">
        <f t="shared" si="4"/>
        <v>0</v>
      </c>
      <c r="M137" s="7" t="e">
        <f>MAX(0, F137*(IF(I137="",Configuración!$B$3,I137) + IF(J137="",Configuración!$B$4,J137)) - (G137+H137))</f>
        <v>#REF!</v>
      </c>
      <c r="N137" s="5" t="e">
        <f>IF(IF(K137="",Configuración!$B$5,K137)&gt;0, CEILING(M137, IF(K137="",Configuración!$B$5,K137)), ROUNDUP(M137,0))</f>
        <v>#REF!</v>
      </c>
      <c r="O137" s="5"/>
      <c r="P137" s="14" t="e">
        <f>VLOOKUP(Tabla2[[#This Row],[Código country]],#REF!,7,0)*Tabla2[[#This Row],[PEDIDO FINAL]]</f>
        <v>#REF!</v>
      </c>
    </row>
    <row r="138" spans="1:16" ht="18" x14ac:dyDescent="0.3">
      <c r="A138" s="5">
        <v>125150</v>
      </c>
      <c r="B138" s="5">
        <v>125150</v>
      </c>
      <c r="C138" s="5" t="s">
        <v>175</v>
      </c>
      <c r="D138" s="7">
        <v>2648</v>
      </c>
      <c r="E138" s="5">
        <v>191</v>
      </c>
      <c r="F138" s="7">
        <f>IFERROR(D138/IF(E138="",Configuración!$B$2,E138),0)</f>
        <v>13.863874345549739</v>
      </c>
      <c r="G138" s="5" t="e">
        <f>VLOOKUP(Tabla2[[#This Row],[Código country]],#REF!,8,0)</f>
        <v>#REF!</v>
      </c>
      <c r="H138" s="5">
        <v>64</v>
      </c>
      <c r="I138" s="5">
        <v>3</v>
      </c>
      <c r="J138" s="5">
        <v>3.5</v>
      </c>
      <c r="K138" s="5">
        <v>16</v>
      </c>
      <c r="L138" s="7">
        <f t="shared" si="4"/>
        <v>0</v>
      </c>
      <c r="M138" s="7" t="e">
        <f>MAX(0, F138*(IF(I138="",Configuración!$B$3,I138) + IF(J138="",Configuración!$B$4,J138)) - (G138+H138))</f>
        <v>#REF!</v>
      </c>
      <c r="N138" s="5" t="e">
        <f>IF(IF(K138="",Configuración!$B$5,K138)&gt;0, CEILING(M138, IF(K138="",Configuración!$B$5,K138)), ROUNDUP(M138,0))</f>
        <v>#REF!</v>
      </c>
      <c r="O138" s="5">
        <v>128</v>
      </c>
      <c r="P138" s="14" t="e">
        <f>VLOOKUP(Tabla2[[#This Row],[Código country]],#REF!,7,0)*Tabla2[[#This Row],[PEDIDO FINAL]]</f>
        <v>#REF!</v>
      </c>
    </row>
    <row r="139" spans="1:16" ht="18" x14ac:dyDescent="0.3">
      <c r="A139" s="5">
        <v>125153</v>
      </c>
      <c r="B139" s="5">
        <v>125153</v>
      </c>
      <c r="C139" s="5" t="s">
        <v>176</v>
      </c>
      <c r="D139" s="7" t="e">
        <f>VLOOKUP(Tabla2[[#This Row],[Código country]],#REF!,4,0)</f>
        <v>#REF!</v>
      </c>
      <c r="E139" s="5">
        <v>191</v>
      </c>
      <c r="F139" s="7">
        <f>IFERROR(D139/IF(E139="",Configuración!$B$2,E139),0)</f>
        <v>0</v>
      </c>
      <c r="G139" s="5" t="e">
        <f>VLOOKUP(Tabla2[[#This Row],[Código country]],#REF!,8,0)</f>
        <v>#REF!</v>
      </c>
      <c r="H139" s="5">
        <v>64</v>
      </c>
      <c r="I139" s="5">
        <v>3</v>
      </c>
      <c r="J139" s="5">
        <v>3.5</v>
      </c>
      <c r="K139" s="5">
        <v>16</v>
      </c>
      <c r="L139" s="7">
        <f t="shared" si="4"/>
        <v>0</v>
      </c>
      <c r="M139" s="7" t="e">
        <f>MAX(0, F139*(IF(I139="",Configuración!$B$3,I139) + IF(J139="",Configuración!$B$4,J139)) - (G139+H139))</f>
        <v>#REF!</v>
      </c>
      <c r="N139" s="5" t="e">
        <f>IF(IF(K139="",Configuración!$B$5,K139)&gt;0, CEILING(M139, IF(K139="",Configuración!$B$5,K139)), ROUNDUP(M139,0))</f>
        <v>#REF!</v>
      </c>
      <c r="O139" s="5">
        <v>64</v>
      </c>
      <c r="P139" s="14" t="e">
        <f>VLOOKUP(Tabla2[[#This Row],[Código country]],#REF!,7,0)*Tabla2[[#This Row],[PEDIDO FINAL]]</f>
        <v>#REF!</v>
      </c>
    </row>
    <row r="140" spans="1:16" ht="18" hidden="1" x14ac:dyDescent="0.3">
      <c r="A140" s="5" t="s">
        <v>202</v>
      </c>
      <c r="B140" s="5">
        <v>1251803</v>
      </c>
      <c r="C140" s="5" t="s">
        <v>208</v>
      </c>
      <c r="D140" s="7" t="e">
        <f>VLOOKUP(Tabla2[[#This Row],[Código country]],#REF!,4,0)</f>
        <v>#REF!</v>
      </c>
      <c r="E140" s="5">
        <v>191</v>
      </c>
      <c r="F140" s="7">
        <f>IFERROR(D140/IF(E140="",Configuración!$B$2,E140),0)</f>
        <v>0</v>
      </c>
      <c r="G140" s="5" t="e">
        <f>VLOOKUP(Tabla2[[#This Row],[Código country]],#REF!,8,0)</f>
        <v>#REF!</v>
      </c>
      <c r="H140" s="5"/>
      <c r="I140" s="5">
        <v>3</v>
      </c>
      <c r="J140" s="5">
        <v>3.5</v>
      </c>
      <c r="K140" s="5">
        <v>1</v>
      </c>
      <c r="L140" s="7">
        <f t="shared" si="4"/>
        <v>0</v>
      </c>
      <c r="M140" s="7" t="e">
        <f>MAX(0, F140*(IF(I140="",Configuración!$B$3,I140) + IF(J140="",Configuración!$B$4,J140)) - (G140+H140))</f>
        <v>#REF!</v>
      </c>
      <c r="N140" s="5" t="e">
        <f>IF(IF(K140="",Configuración!$B$5,K140)&gt;0, CEILING(M140, IF(K140="",Configuración!$B$5,K140)), ROUNDUP(M140,0))</f>
        <v>#REF!</v>
      </c>
      <c r="O140" s="5"/>
      <c r="P140" s="14" t="e">
        <f>VLOOKUP(Tabla2[[#This Row],[Código country]],#REF!,7,0)*Tabla2[[#This Row],[PEDIDO FINAL]]</f>
        <v>#REF!</v>
      </c>
    </row>
    <row r="141" spans="1:16" ht="18" x14ac:dyDescent="0.3">
      <c r="A141" s="5">
        <v>125159</v>
      </c>
      <c r="B141" s="5">
        <v>125159</v>
      </c>
      <c r="C141" s="5" t="s">
        <v>177</v>
      </c>
      <c r="D141" s="7" t="e">
        <f>VLOOKUP(Tabla2[[#This Row],[Código country]],#REF!,4,0)</f>
        <v>#REF!</v>
      </c>
      <c r="E141" s="5">
        <v>191</v>
      </c>
      <c r="F141" s="7">
        <f>IFERROR(D141/IF(E141="",Configuración!$B$2,E141),0)</f>
        <v>0</v>
      </c>
      <c r="G141" s="5" t="e">
        <f>VLOOKUP(Tabla2[[#This Row],[Código country]],#REF!,8,0)</f>
        <v>#REF!</v>
      </c>
      <c r="H141" s="5">
        <v>32</v>
      </c>
      <c r="I141" s="5">
        <v>3</v>
      </c>
      <c r="J141" s="5">
        <v>3.5</v>
      </c>
      <c r="K141" s="5">
        <v>16</v>
      </c>
      <c r="L141" s="7">
        <f t="shared" si="4"/>
        <v>0</v>
      </c>
      <c r="M141" s="7" t="e">
        <f>MAX(0, F141*(IF(I141="",Configuración!$B$3,I141) + IF(J141="",Configuración!$B$4,J141)) - (G141+H141))</f>
        <v>#REF!</v>
      </c>
      <c r="N141" s="5" t="e">
        <f>IF(IF(K141="",Configuración!$B$5,K141)&gt;0, CEILING(M141, IF(K141="",Configuración!$B$5,K141)), ROUNDUP(M141,0))</f>
        <v>#REF!</v>
      </c>
      <c r="O141" s="5">
        <v>32</v>
      </c>
      <c r="P141" s="14" t="e">
        <f>VLOOKUP(Tabla2[[#This Row],[Código country]],#REF!,7,0)*Tabla2[[#This Row],[PEDIDO FINAL]]</f>
        <v>#REF!</v>
      </c>
    </row>
    <row r="142" spans="1:16" ht="18" x14ac:dyDescent="0.3">
      <c r="A142" s="5" t="s">
        <v>76</v>
      </c>
      <c r="B142" s="5" t="s">
        <v>76</v>
      </c>
      <c r="C142" s="5" t="s">
        <v>178</v>
      </c>
      <c r="D142" s="7" t="e">
        <f>VLOOKUP(Tabla2[[#This Row],[Código country]],#REF!,4,0)</f>
        <v>#REF!</v>
      </c>
      <c r="E142" s="5">
        <v>191</v>
      </c>
      <c r="F142" s="7">
        <f>IFERROR(D142/IF(E142="",Configuración!$B$2,E142),0)</f>
        <v>0</v>
      </c>
      <c r="G142" s="5" t="e">
        <f>VLOOKUP(Tabla2[[#This Row],[Código country]],#REF!,8,0)</f>
        <v>#REF!</v>
      </c>
      <c r="H142" s="5">
        <v>12</v>
      </c>
      <c r="I142" s="5">
        <v>3</v>
      </c>
      <c r="J142" s="5">
        <v>3.5</v>
      </c>
      <c r="K142" s="5">
        <v>1</v>
      </c>
      <c r="L142" s="7">
        <f t="shared" si="4"/>
        <v>0</v>
      </c>
      <c r="M142" s="7" t="e">
        <f>MAX(0, F142*(IF(I142="",Configuración!$B$3,I142) + IF(J142="",Configuración!$B$4,J142)) - (G142+H142))</f>
        <v>#REF!</v>
      </c>
      <c r="N142" s="5" t="e">
        <f>IF(IF(K142="",Configuración!$B$5,K142)&gt;0, CEILING(M142, IF(K142="",Configuración!$B$5,K142)), ROUNDUP(M142,0))</f>
        <v>#REF!</v>
      </c>
      <c r="O142" s="5">
        <v>12</v>
      </c>
      <c r="P142" s="14" t="e">
        <f>VLOOKUP(Tabla2[[#This Row],[Código country]],#REF!,7,0)*Tabla2[[#This Row],[PEDIDO FINAL]]</f>
        <v>#REF!</v>
      </c>
    </row>
    <row r="143" spans="1:16" ht="18" x14ac:dyDescent="0.3">
      <c r="A143" s="5">
        <v>13573</v>
      </c>
      <c r="B143" s="5">
        <v>13573</v>
      </c>
      <c r="C143" s="5" t="s">
        <v>179</v>
      </c>
      <c r="D143" s="7" t="e">
        <f>VLOOKUP(Tabla2[[#This Row],[Código country]],#REF!,4,0)</f>
        <v>#REF!</v>
      </c>
      <c r="E143" s="5">
        <v>191</v>
      </c>
      <c r="F143" s="7">
        <f>IFERROR(D143/IF(E143="",Configuración!$B$2,E143),0)</f>
        <v>0</v>
      </c>
      <c r="G143" s="5" t="e">
        <f>VLOOKUP(Tabla2[[#This Row],[Código country]],#REF!,8,0)</f>
        <v>#REF!</v>
      </c>
      <c r="H143" s="5">
        <v>6</v>
      </c>
      <c r="I143" s="5">
        <v>3</v>
      </c>
      <c r="J143" s="5">
        <v>3.5</v>
      </c>
      <c r="K143" s="5">
        <v>1</v>
      </c>
      <c r="L143" s="7">
        <f t="shared" si="4"/>
        <v>0</v>
      </c>
      <c r="M143" s="7" t="e">
        <f>MAX(0, F143*(IF(I143="",Configuración!$B$3,I143) + IF(J143="",Configuración!$B$4,J143)) - (G143+H143))</f>
        <v>#REF!</v>
      </c>
      <c r="N143" s="5" t="e">
        <f>IF(IF(K143="",Configuración!$B$5,K143)&gt;0, CEILING(M143, IF(K143="",Configuración!$B$5,K143)), ROUNDUP(M143,0))</f>
        <v>#REF!</v>
      </c>
      <c r="O143" s="5">
        <v>6</v>
      </c>
      <c r="P143" s="14" t="e">
        <f>VLOOKUP(Tabla2[[#This Row],[Código country]],#REF!,7,0)*Tabla2[[#This Row],[PEDIDO FINAL]]</f>
        <v>#REF!</v>
      </c>
    </row>
    <row r="144" spans="1:16" ht="18" hidden="1" x14ac:dyDescent="0.3">
      <c r="A144" s="5">
        <v>2324</v>
      </c>
      <c r="B144" s="5">
        <v>2324</v>
      </c>
      <c r="C144" s="5" t="s">
        <v>180</v>
      </c>
      <c r="D144" s="7" t="e">
        <f>VLOOKUP(Tabla2[[#This Row],[Código country]],#REF!,4,0)</f>
        <v>#REF!</v>
      </c>
      <c r="E144" s="5">
        <v>191</v>
      </c>
      <c r="F144" s="7">
        <f>IFERROR(D144/IF(E144="",Configuración!$B$2,E144),0)</f>
        <v>0</v>
      </c>
      <c r="G144" s="5" t="e">
        <f>VLOOKUP(Tabla2[[#This Row],[Código country]],#REF!,8,0)</f>
        <v>#REF!</v>
      </c>
      <c r="H144" s="5"/>
      <c r="I144" s="5">
        <v>3</v>
      </c>
      <c r="J144" s="5">
        <v>3.5</v>
      </c>
      <c r="K144" s="5">
        <v>12</v>
      </c>
      <c r="L144" s="7">
        <f t="shared" si="4"/>
        <v>0</v>
      </c>
      <c r="M144" s="7" t="e">
        <f>MAX(0, F144*(IF(I144="",Configuración!$B$3,I144) + IF(J144="",Configuración!$B$4,J144)) - (G144+H144))</f>
        <v>#REF!</v>
      </c>
      <c r="N144" s="5" t="e">
        <f>IF(IF(K144="",Configuración!$B$5,K144)&gt;0, CEILING(M144, IF(K144="",Configuración!$B$5,K144)), ROUNDUP(M144,0))</f>
        <v>#REF!</v>
      </c>
      <c r="O144" s="5"/>
      <c r="P144" s="14" t="e">
        <f>VLOOKUP(Tabla2[[#This Row],[Código country]],#REF!,7,0)*Tabla2[[#This Row],[PEDIDO FINAL]]</f>
        <v>#REF!</v>
      </c>
    </row>
    <row r="145" spans="1:16" ht="18" hidden="1" x14ac:dyDescent="0.3">
      <c r="A145" s="5">
        <v>21021</v>
      </c>
      <c r="B145" s="8" t="s">
        <v>210</v>
      </c>
      <c r="C145" s="5" t="s">
        <v>181</v>
      </c>
      <c r="D145" s="7" t="e">
        <f>VLOOKUP(Tabla2[[#This Row],[Código country]],#REF!,4,0)</f>
        <v>#REF!</v>
      </c>
      <c r="E145" s="5">
        <v>191</v>
      </c>
      <c r="F145" s="7">
        <f>IFERROR(D145/IF(E145="",Configuración!$B$2,E145),0)</f>
        <v>0</v>
      </c>
      <c r="G145" s="5" t="e">
        <f>VLOOKUP(Tabla2[[#This Row],[Código country]],#REF!,8,0)</f>
        <v>#REF!</v>
      </c>
      <c r="H145" s="5"/>
      <c r="I145" s="5">
        <v>4</v>
      </c>
      <c r="J145" s="5">
        <v>3.5</v>
      </c>
      <c r="K145" s="5">
        <v>1</v>
      </c>
      <c r="L145" s="7">
        <f t="shared" si="4"/>
        <v>0</v>
      </c>
      <c r="M145" s="7" t="e">
        <f>MAX(0, F145*(IF(I145="",Configuración!$B$3,I145) + IF(J145="",Configuración!$B$4,J145)) - (G145+H145))</f>
        <v>#REF!</v>
      </c>
      <c r="N145" s="5" t="e">
        <f>IF(IF(K145="",Configuración!$B$5,K145)&gt;0, CEILING(M145, IF(K145="",Configuración!$B$5,K145)), ROUNDUP(M145,0))</f>
        <v>#REF!</v>
      </c>
      <c r="O145" s="5"/>
      <c r="P145" s="14" t="e">
        <f>VLOOKUP(Tabla2[[#This Row],[Código country]],#REF!,7,0)*Tabla2[[#This Row],[PEDIDO FINAL]]</f>
        <v>#REF!</v>
      </c>
    </row>
    <row r="146" spans="1:16" ht="18" hidden="1" x14ac:dyDescent="0.3">
      <c r="A146" s="5">
        <v>2125</v>
      </c>
      <c r="B146" s="5">
        <v>144402</v>
      </c>
      <c r="C146" s="5" t="s">
        <v>182</v>
      </c>
      <c r="D146" s="7" t="e">
        <f>VLOOKUP(Tabla2[[#This Row],[Código country]],#REF!,4,0)</f>
        <v>#REF!</v>
      </c>
      <c r="E146" s="5">
        <v>191</v>
      </c>
      <c r="F146" s="7">
        <f>IFERROR(D146/IF(E146="",Configuración!$B$2,E146),0)</f>
        <v>0</v>
      </c>
      <c r="G146" s="5" t="e">
        <f>VLOOKUP(Tabla2[[#This Row],[Código country]],#REF!,8,0)</f>
        <v>#REF!</v>
      </c>
      <c r="H146" s="5"/>
      <c r="I146" s="5">
        <v>3</v>
      </c>
      <c r="J146" s="5">
        <v>3.5</v>
      </c>
      <c r="K146" s="5">
        <v>1</v>
      </c>
      <c r="L146" s="7">
        <f t="shared" si="4"/>
        <v>0</v>
      </c>
      <c r="M146" s="7" t="e">
        <f>MAX(0, F146*(IF(I146="",Configuración!$B$3,I146) + IF(J146="",Configuración!$B$4,J146)) - (G146+H146))</f>
        <v>#REF!</v>
      </c>
      <c r="N146" s="5" t="e">
        <f>IF(IF(K146="",Configuración!$B$5,K146)&gt;0, CEILING(M146, IF(K146="",Configuración!$B$5,K146)), ROUNDUP(M146,0))</f>
        <v>#REF!</v>
      </c>
      <c r="O146" s="5"/>
      <c r="P146" s="14" t="e">
        <f>VLOOKUP(Tabla2[[#This Row],[Código country]],#REF!,7,0)*Tabla2[[#This Row],[PEDIDO FINAL]]</f>
        <v>#REF!</v>
      </c>
    </row>
    <row r="147" spans="1:16" ht="18" x14ac:dyDescent="0.3">
      <c r="A147" s="5">
        <v>2331</v>
      </c>
      <c r="B147" s="5">
        <v>2332</v>
      </c>
      <c r="C147" s="5" t="s">
        <v>183</v>
      </c>
      <c r="D147" s="7" t="e">
        <f>VLOOKUP(Tabla2[[#This Row],[Código country]],#REF!,4,0)</f>
        <v>#REF!</v>
      </c>
      <c r="E147" s="5">
        <v>191</v>
      </c>
      <c r="F147" s="7">
        <f>IFERROR(D147/IF(E147="",Configuración!$B$2,E147),0)</f>
        <v>0</v>
      </c>
      <c r="G147" s="5" t="e">
        <f>VLOOKUP(Tabla2[[#This Row],[Código country]],#REF!,8,0)</f>
        <v>#REF!</v>
      </c>
      <c r="H147" s="5"/>
      <c r="I147" s="5">
        <v>3</v>
      </c>
      <c r="J147" s="5">
        <v>3.5</v>
      </c>
      <c r="K147" s="5">
        <v>9</v>
      </c>
      <c r="L147" s="7">
        <f t="shared" si="4"/>
        <v>0</v>
      </c>
      <c r="M147" s="7" t="e">
        <f>MAX(0, F147*(IF(I147="",Configuración!$B$3,I147) + IF(J147="",Configuración!$B$4,J147)) - (G147+H147))</f>
        <v>#REF!</v>
      </c>
      <c r="N147" s="5" t="e">
        <f>IF(IF(K147="",Configuración!$B$5,K147)&gt;0, CEILING(M147, IF(K147="",Configuración!$B$5,K147)), ROUNDUP(M147,0))</f>
        <v>#REF!</v>
      </c>
      <c r="O147" s="5">
        <v>12</v>
      </c>
      <c r="P147" s="14" t="e">
        <f>VLOOKUP(Tabla2[[#This Row],[Código country]],#REF!,7,0)*Tabla2[[#This Row],[PEDIDO FINAL]]</f>
        <v>#REF!</v>
      </c>
    </row>
    <row r="148" spans="1:16" ht="18" hidden="1" x14ac:dyDescent="0.3">
      <c r="A148" s="5">
        <v>2131</v>
      </c>
      <c r="B148" s="5">
        <v>2132</v>
      </c>
      <c r="C148" s="5" t="s">
        <v>184</v>
      </c>
      <c r="D148" s="7" t="e">
        <f>VLOOKUP(Tabla2[[#This Row],[Código country]],#REF!,4,0)</f>
        <v>#REF!</v>
      </c>
      <c r="E148" s="5">
        <v>191</v>
      </c>
      <c r="F148" s="7">
        <f>IFERROR(D148/IF(E148="",Configuración!$B$2,E148),0)</f>
        <v>0</v>
      </c>
      <c r="G148" s="5" t="e">
        <f>VLOOKUP(Tabla2[[#This Row],[Código country]],#REF!,8,0)</f>
        <v>#REF!</v>
      </c>
      <c r="H148" s="5"/>
      <c r="I148" s="5">
        <v>3</v>
      </c>
      <c r="J148" s="5">
        <v>3.5</v>
      </c>
      <c r="K148" s="5">
        <v>8.1999999999999993</v>
      </c>
      <c r="L148" s="7">
        <f t="shared" si="4"/>
        <v>0</v>
      </c>
      <c r="M148" s="7" t="e">
        <f>MAX(0, F148*(IF(I148="",Configuración!$B$3,I148) + IF(J148="",Configuración!$B$4,J148)) - (G148+H148))</f>
        <v>#REF!</v>
      </c>
      <c r="N148" s="5" t="e">
        <f>IF(IF(K148="",Configuración!$B$5,K148)&gt;0, CEILING(M148, IF(K148="",Configuración!$B$5,K148)), ROUNDUP(M148,0))</f>
        <v>#REF!</v>
      </c>
      <c r="O148" s="5"/>
      <c r="P148" s="14" t="e">
        <f>VLOOKUP(Tabla2[[#This Row],[Código country]],#REF!,7,0)*Tabla2[[#This Row],[PEDIDO FINAL]]</f>
        <v>#REF!</v>
      </c>
    </row>
    <row r="149" spans="1:16" ht="18" x14ac:dyDescent="0.3">
      <c r="A149" s="5">
        <v>125170</v>
      </c>
      <c r="B149" s="5">
        <v>125170</v>
      </c>
      <c r="C149" s="5" t="s">
        <v>60</v>
      </c>
      <c r="D149" s="7" t="e">
        <f>VLOOKUP(Tabla2[[#This Row],[Código country]],#REF!,4,0)</f>
        <v>#REF!</v>
      </c>
      <c r="E149" s="5">
        <v>191</v>
      </c>
      <c r="F149" s="7">
        <f>IFERROR(D149/IF(E149="",Configuración!$B$2,E149),0)</f>
        <v>0</v>
      </c>
      <c r="G149" s="5" t="e">
        <f>VLOOKUP(Tabla2[[#This Row],[Código country]],#REF!,8,0)</f>
        <v>#REF!</v>
      </c>
      <c r="H149" s="5"/>
      <c r="I149" s="5">
        <v>3</v>
      </c>
      <c r="J149" s="5">
        <v>3.5</v>
      </c>
      <c r="K149" s="5">
        <v>1</v>
      </c>
      <c r="L149" s="7">
        <f t="shared" si="4"/>
        <v>0</v>
      </c>
      <c r="M149" s="7" t="e">
        <f>MAX(0, F149*(IF(I149="",Configuración!$B$3,I149) + IF(J149="",Configuración!$B$4,J149)) - (G149+H149))</f>
        <v>#REF!</v>
      </c>
      <c r="N149" s="5" t="e">
        <f>IF(IF(K149="",Configuración!$B$5,K149)&gt;0, CEILING(M149, IF(K149="",Configuración!$B$5,K149)), ROUNDUP(M149,0))</f>
        <v>#REF!</v>
      </c>
      <c r="O149" s="5">
        <v>6</v>
      </c>
      <c r="P149" s="14" t="e">
        <f>VLOOKUP(Tabla2[[#This Row],[Código country]],#REF!,7,0)*Tabla2[[#This Row],[PEDIDO FINAL]]</f>
        <v>#REF!</v>
      </c>
    </row>
    <row r="150" spans="1:16" ht="18" x14ac:dyDescent="0.3">
      <c r="A150" s="5">
        <v>125162</v>
      </c>
      <c r="B150" s="5">
        <v>125162</v>
      </c>
      <c r="C150" s="5" t="s">
        <v>185</v>
      </c>
      <c r="D150" s="7" t="e">
        <f>VLOOKUP(Tabla2[[#This Row],[Código country]],#REF!,4,0)</f>
        <v>#REF!</v>
      </c>
      <c r="E150" s="5">
        <v>191</v>
      </c>
      <c r="F150" s="7">
        <f>IFERROR(D150/IF(E150="",Configuración!$B$2,E150),0)</f>
        <v>0</v>
      </c>
      <c r="G150" s="5" t="e">
        <f>VLOOKUP(Tabla2[[#This Row],[Código country]],#REF!,8,0)</f>
        <v>#REF!</v>
      </c>
      <c r="H150" s="5"/>
      <c r="I150" s="5">
        <v>3</v>
      </c>
      <c r="J150" s="5">
        <v>3.5</v>
      </c>
      <c r="K150" s="5">
        <v>10</v>
      </c>
      <c r="L150" s="7">
        <f t="shared" si="4"/>
        <v>0</v>
      </c>
      <c r="M150" s="7" t="e">
        <f>MAX(0, F150*(IF(I150="",Configuración!$B$3,I150) + IF(J150="",Configuración!$B$4,J150)) - (G150+H150))</f>
        <v>#REF!</v>
      </c>
      <c r="N150" s="5" t="e">
        <f>IF(IF(K150="",Configuración!$B$5,K150)&gt;0, CEILING(M150, IF(K150="",Configuración!$B$5,K150)), ROUNDUP(M150,0))</f>
        <v>#REF!</v>
      </c>
      <c r="O150" s="5">
        <v>12</v>
      </c>
      <c r="P150" s="14" t="e">
        <f>VLOOKUP(Tabla2[[#This Row],[Código country]],#REF!,7,0)*Tabla2[[#This Row],[PEDIDO FINAL]]</f>
        <v>#REF!</v>
      </c>
    </row>
    <row r="151" spans="1:16" ht="18" x14ac:dyDescent="0.3">
      <c r="A151" s="5">
        <v>13571</v>
      </c>
      <c r="B151" s="5">
        <v>13571</v>
      </c>
      <c r="C151" s="5" t="s">
        <v>186</v>
      </c>
      <c r="D151" s="7" t="e">
        <f>VLOOKUP(Tabla2[[#This Row],[Código country]],#REF!,4,0)</f>
        <v>#REF!</v>
      </c>
      <c r="E151" s="5">
        <v>191</v>
      </c>
      <c r="F151" s="7">
        <f>IFERROR(D151/IF(E151="",Configuración!$B$2,E151),0)</f>
        <v>0</v>
      </c>
      <c r="G151" s="5" t="e">
        <f>VLOOKUP(Tabla2[[#This Row],[Código country]],#REF!,8,0)</f>
        <v>#REF!</v>
      </c>
      <c r="H151" s="5">
        <v>30</v>
      </c>
      <c r="I151" s="5">
        <v>8</v>
      </c>
      <c r="J151" s="5">
        <v>3.5</v>
      </c>
      <c r="K151" s="5">
        <v>15</v>
      </c>
      <c r="L151" s="7">
        <f t="shared" si="4"/>
        <v>0</v>
      </c>
      <c r="M151" s="7" t="e">
        <f>MAX(0, F151*(IF(I151="",Configuración!$B$3,I151) + IF(J151="",Configuración!$B$4,J151)) - (G151+H151))</f>
        <v>#REF!</v>
      </c>
      <c r="N151" s="5" t="e">
        <f>IF(IF(K151="",Configuración!$B$5,K151)&gt;0, CEILING(M151, IF(K151="",Configuración!$B$5,K151)), ROUNDUP(M151,0))</f>
        <v>#REF!</v>
      </c>
      <c r="O151" s="5">
        <v>45</v>
      </c>
      <c r="P151" s="14" t="e">
        <f>VLOOKUP(Tabla2[[#This Row],[Código country]],#REF!,7,0)*Tabla2[[#This Row],[PEDIDO FINAL]]</f>
        <v>#REF!</v>
      </c>
    </row>
    <row r="152" spans="1:16" ht="18" hidden="1" x14ac:dyDescent="0.3">
      <c r="A152" s="5">
        <v>13581</v>
      </c>
      <c r="B152" s="5">
        <v>13581</v>
      </c>
      <c r="C152" s="5" t="s">
        <v>187</v>
      </c>
      <c r="D152" s="7" t="e">
        <f>VLOOKUP(Tabla2[[#This Row],[Código country]],#REF!,4,0)</f>
        <v>#REF!</v>
      </c>
      <c r="E152" s="5">
        <v>191</v>
      </c>
      <c r="F152" s="7">
        <f>IFERROR(D152/IF(E152="",Configuración!$B$2,E152),0)</f>
        <v>0</v>
      </c>
      <c r="G152" s="5" t="e">
        <f>VLOOKUP(Tabla2[[#This Row],[Código country]],#REF!,8,0)</f>
        <v>#REF!</v>
      </c>
      <c r="H152" s="5"/>
      <c r="I152" s="5">
        <v>3</v>
      </c>
      <c r="J152" s="5">
        <v>3.5</v>
      </c>
      <c r="K152" s="5">
        <v>1</v>
      </c>
      <c r="L152" s="7">
        <f t="shared" si="4"/>
        <v>0</v>
      </c>
      <c r="M152" s="7" t="e">
        <f>MAX(0, F152*(IF(I152="",Configuración!$B$3,I152) + IF(J152="",Configuración!$B$4,J152)) - (G152+H152))</f>
        <v>#REF!</v>
      </c>
      <c r="N152" s="5" t="e">
        <f>IF(IF(K152="",Configuración!$B$5,K152)&gt;0, CEILING(M152, IF(K152="",Configuración!$B$5,K152)), ROUNDUP(M152,0))</f>
        <v>#REF!</v>
      </c>
      <c r="O152" s="5"/>
      <c r="P152" s="14" t="e">
        <f>VLOOKUP(Tabla2[[#This Row],[Código country]],#REF!,7,0)*Tabla2[[#This Row],[PEDIDO FINAL]]</f>
        <v>#REF!</v>
      </c>
    </row>
    <row r="153" spans="1:16" ht="18" x14ac:dyDescent="0.3">
      <c r="A153" s="5">
        <v>13582</v>
      </c>
      <c r="B153" s="5">
        <v>13582</v>
      </c>
      <c r="C153" s="5" t="s">
        <v>61</v>
      </c>
      <c r="D153" s="7" t="e">
        <f>VLOOKUP(Tabla2[[#This Row],[Código country]],#REF!,4,0)</f>
        <v>#REF!</v>
      </c>
      <c r="E153" s="5">
        <v>191</v>
      </c>
      <c r="F153" s="7">
        <f>IFERROR(D153/IF(E153="",Configuración!$B$2,E153),0)</f>
        <v>0</v>
      </c>
      <c r="G153" s="5" t="e">
        <f>VLOOKUP(Tabla2[[#This Row],[Código country]],#REF!,8,0)</f>
        <v>#REF!</v>
      </c>
      <c r="H153" s="5">
        <v>30</v>
      </c>
      <c r="I153" s="5">
        <v>3</v>
      </c>
      <c r="J153" s="5">
        <v>3.5</v>
      </c>
      <c r="K153" s="5">
        <v>15</v>
      </c>
      <c r="L153" s="7">
        <f t="shared" si="4"/>
        <v>0</v>
      </c>
      <c r="M153" s="7" t="e">
        <f>MAX(0, F153*(IF(I153="",Configuración!$B$3,I153) + IF(J153="",Configuración!$B$4,J153)) - (G153+H153))</f>
        <v>#REF!</v>
      </c>
      <c r="N153" s="5" t="e">
        <f>IF(IF(K153="",Configuración!$B$5,K153)&gt;0, CEILING(M153, IF(K153="",Configuración!$B$5,K153)), ROUNDUP(M153,0))</f>
        <v>#REF!</v>
      </c>
      <c r="O153" s="5">
        <v>30</v>
      </c>
      <c r="P153" s="14" t="e">
        <f>VLOOKUP(Tabla2[[#This Row],[Código country]],#REF!,7,0)*Tabla2[[#This Row],[PEDIDO FINAL]]</f>
        <v>#REF!</v>
      </c>
    </row>
    <row r="154" spans="1:16" ht="18" x14ac:dyDescent="0.3">
      <c r="A154" s="5">
        <v>13588</v>
      </c>
      <c r="B154" s="5">
        <v>13588</v>
      </c>
      <c r="C154" s="5" t="s">
        <v>188</v>
      </c>
      <c r="D154" s="7" t="e">
        <f>VLOOKUP(Tabla2[[#This Row],[Código country]],#REF!,4,0)</f>
        <v>#REF!</v>
      </c>
      <c r="E154" s="5">
        <v>191</v>
      </c>
      <c r="F154" s="7">
        <f>IFERROR(D154/IF(E154="",Configuración!$B$2,E154),0)</f>
        <v>0</v>
      </c>
      <c r="G154" s="5" t="e">
        <f>VLOOKUP(Tabla2[[#This Row],[Código country]],#REF!,8,0)</f>
        <v>#REF!</v>
      </c>
      <c r="H154" s="5">
        <v>30</v>
      </c>
      <c r="I154" s="5">
        <v>3</v>
      </c>
      <c r="J154" s="5">
        <v>3.5</v>
      </c>
      <c r="K154" s="5">
        <v>1</v>
      </c>
      <c r="L154" s="7">
        <f t="shared" si="4"/>
        <v>0</v>
      </c>
      <c r="M154" s="7" t="e">
        <f>MAX(0, F154*(IF(I154="",Configuración!$B$3,I154) + IF(J154="",Configuración!$B$4,J154)) - (G154+H154))</f>
        <v>#REF!</v>
      </c>
      <c r="N154" s="5" t="e">
        <f>IF(IF(K154="",Configuración!$B$5,K154)&gt;0, CEILING(M154, IF(K154="",Configuración!$B$5,K154)), ROUNDUP(M154,0))</f>
        <v>#REF!</v>
      </c>
      <c r="O154" s="5">
        <v>30</v>
      </c>
      <c r="P154" s="14" t="e">
        <f>VLOOKUP(Tabla2[[#This Row],[Código country]],#REF!,7,0)*Tabla2[[#This Row],[PEDIDO FINAL]]</f>
        <v>#REF!</v>
      </c>
    </row>
    <row r="155" spans="1:16" ht="18" hidden="1" x14ac:dyDescent="0.3">
      <c r="A155" s="5">
        <v>1800</v>
      </c>
      <c r="B155" s="5">
        <v>1800</v>
      </c>
      <c r="C155" s="5" t="s">
        <v>62</v>
      </c>
      <c r="D155" s="7" t="e">
        <f>VLOOKUP(Tabla2[[#This Row],[Código country]],#REF!,4,0)</f>
        <v>#REF!</v>
      </c>
      <c r="E155" s="5">
        <v>191</v>
      </c>
      <c r="F155" s="7">
        <f>IFERROR(D155/IF(E155="",Configuración!$B$2,E155),0)</f>
        <v>0</v>
      </c>
      <c r="G155" s="5" t="e">
        <f>VLOOKUP(Tabla2[[#This Row],[Código country]],#REF!,8,0)</f>
        <v>#REF!</v>
      </c>
      <c r="H155" s="5"/>
      <c r="I155" s="5">
        <v>5</v>
      </c>
      <c r="J155" s="5">
        <v>3.5</v>
      </c>
      <c r="K155" s="5">
        <v>1</v>
      </c>
      <c r="L155" s="7">
        <f t="shared" si="4"/>
        <v>0</v>
      </c>
      <c r="M155" s="7" t="e">
        <f>MAX(0, F155*(IF(I155="",Configuración!$B$3,I155) + IF(J155="",Configuración!$B$4,J155)) - (G155+H155))</f>
        <v>#REF!</v>
      </c>
      <c r="N155" s="5" t="e">
        <f>IF(IF(K155="",Configuración!$B$5,K155)&gt;0, CEILING(M155, IF(K155="",Configuración!$B$5,K155)), ROUNDUP(M155,0))</f>
        <v>#REF!</v>
      </c>
      <c r="O155" s="5"/>
      <c r="P155" s="14" t="e">
        <f>VLOOKUP(Tabla2[[#This Row],[Código country]],#REF!,7,0)*Tabla2[[#This Row],[PEDIDO FINAL]]</f>
        <v>#REF!</v>
      </c>
    </row>
    <row r="156" spans="1:16" ht="18" x14ac:dyDescent="0.3">
      <c r="A156" s="5">
        <v>125191</v>
      </c>
      <c r="B156" s="5">
        <v>125191</v>
      </c>
      <c r="C156" s="5" t="s">
        <v>189</v>
      </c>
      <c r="D156" s="7" t="e">
        <f>VLOOKUP(Tabla2[[#This Row],[Código country]],#REF!,4,0)</f>
        <v>#REF!</v>
      </c>
      <c r="E156" s="5">
        <v>191</v>
      </c>
      <c r="F156" s="7">
        <f>IFERROR(D156/IF(E156="",Configuración!$B$2,E156),0)</f>
        <v>0</v>
      </c>
      <c r="G156" s="5" t="e">
        <f>VLOOKUP(Tabla2[[#This Row],[Código country]],#REF!,8,0)</f>
        <v>#REF!</v>
      </c>
      <c r="H156" s="5">
        <v>30</v>
      </c>
      <c r="I156" s="5">
        <v>3</v>
      </c>
      <c r="J156" s="5">
        <v>3.5</v>
      </c>
      <c r="K156" s="5">
        <v>15</v>
      </c>
      <c r="L156" s="7">
        <f t="shared" si="4"/>
        <v>0</v>
      </c>
      <c r="M156" s="7" t="e">
        <f>MAX(0, F156*(IF(I156="",Configuración!$B$3,I156) + IF(J156="",Configuración!$B$4,J156)) - (G156+H156))</f>
        <v>#REF!</v>
      </c>
      <c r="N156" s="5" t="e">
        <f>IF(IF(K156="",Configuración!$B$5,K156)&gt;0, CEILING(M156, IF(K156="",Configuración!$B$5,K156)), ROUNDUP(M156,0))</f>
        <v>#REF!</v>
      </c>
      <c r="O156" s="5">
        <v>20</v>
      </c>
      <c r="P156" s="14" t="e">
        <f>VLOOKUP(Tabla2[[#This Row],[Código country]],#REF!,7,0)*Tabla2[[#This Row],[PEDIDO FINAL]]</f>
        <v>#REF!</v>
      </c>
    </row>
    <row r="157" spans="1:16" ht="18" x14ac:dyDescent="0.3">
      <c r="A157" s="10"/>
      <c r="B157" s="10"/>
      <c r="C157" s="10"/>
      <c r="D157" s="17"/>
      <c r="E157" s="11"/>
      <c r="F157" s="17"/>
      <c r="G157" s="11"/>
      <c r="H157" s="12"/>
      <c r="I157" s="11"/>
      <c r="J157" s="13"/>
      <c r="K157" s="13"/>
      <c r="L157" s="17"/>
      <c r="M157" s="17"/>
      <c r="N157" s="11"/>
      <c r="O157" s="11"/>
      <c r="P157" s="15" t="e">
        <f>SUBTOTAL(109,Tabla2[Costo de pedido])</f>
        <v>#REF!</v>
      </c>
    </row>
  </sheetData>
  <conditionalFormatting sqref="A142:C152 I2:P2 O3:O152 A1:G141 P3:P156 I3:N156 I1:O1 H2:H156 D3:G156">
    <cfRule type="expression" dxfId="64" priority="37">
      <formula>CELL("fila")=ROW()</formula>
    </cfRule>
  </conditionalFormatting>
  <conditionalFormatting sqref="A153:C153 E153 J153 O153 H152:H153">
    <cfRule type="expression" dxfId="63" priority="35">
      <formula>CELL("fila")=ROW()</formula>
    </cfRule>
  </conditionalFormatting>
  <conditionalFormatting sqref="A154:C154 E154 J154 O154 H153:H154">
    <cfRule type="expression" dxfId="62" priority="33">
      <formula>CELL("fila")=ROW()</formula>
    </cfRule>
  </conditionalFormatting>
  <conditionalFormatting sqref="A155:C155 E155 J155 O155 H154:H155">
    <cfRule type="expression" dxfId="61" priority="29">
      <formula>CELL("fila")=ROW()</formula>
    </cfRule>
  </conditionalFormatting>
  <conditionalFormatting sqref="A156:C156 E156 J156 O156 H155:H156">
    <cfRule type="expression" dxfId="60" priority="27">
      <formula>CELL("fila")=ROW()</formula>
    </cfRule>
  </conditionalFormatting>
  <conditionalFormatting sqref="A1:G1 I1:P1">
    <cfRule type="expression" dxfId="59" priority="24">
      <formula>CELL("fila")=ROW()</formula>
    </cfRule>
  </conditionalFormatting>
  <conditionalFormatting sqref="H2:H156">
    <cfRule type="expression" dxfId="58" priority="19">
      <formula>CELL("fila")=ROW()</formula>
    </cfRule>
  </conditionalFormatting>
  <conditionalFormatting sqref="H1">
    <cfRule type="expression" dxfId="57" priority="18">
      <formula>CELL("fila")=ROW()</formula>
    </cfRule>
  </conditionalFormatting>
  <conditionalFormatting sqref="H1">
    <cfRule type="expression" dxfId="56" priority="17">
      <formula>CELL("fila")=ROW()</formula>
    </cfRule>
  </conditionalFormatting>
  <conditionalFormatting sqref="O3:O152">
    <cfRule type="expression" dxfId="55" priority="16">
      <formula>CELL("fila")=ROW()</formula>
    </cfRule>
  </conditionalFormatting>
  <conditionalFormatting sqref="H3:H156">
    <cfRule type="expression" dxfId="54" priority="15">
      <formula>CELL("fila")=ROW()</formula>
    </cfRule>
  </conditionalFormatting>
  <conditionalFormatting sqref="H3:H156">
    <cfRule type="expression" dxfId="53" priority="14">
      <formula>CELL("fila")=ROW()</formula>
    </cfRule>
  </conditionalFormatting>
  <conditionalFormatting sqref="H3:H156">
    <cfRule type="expression" dxfId="52" priority="13">
      <formula>CELL("fila")=ROW()</formula>
    </cfRule>
  </conditionalFormatting>
  <conditionalFormatting sqref="H3:H156">
    <cfRule type="expression" dxfId="51" priority="12">
      <formula>CELL("fila")=ROW()</formula>
    </cfRule>
  </conditionalFormatting>
  <conditionalFormatting sqref="H3:H156">
    <cfRule type="expression" dxfId="50" priority="11">
      <formula>CELL("fila")=ROW()</formula>
    </cfRule>
  </conditionalFormatting>
  <conditionalFormatting sqref="H3:H156">
    <cfRule type="expression" dxfId="49" priority="10">
      <formula>CELL("fila")=ROW()</formula>
    </cfRule>
  </conditionalFormatting>
  <conditionalFormatting sqref="H3:H156">
    <cfRule type="expression" dxfId="48" priority="9">
      <formula>CELL("fila")=ROW()</formula>
    </cfRule>
  </conditionalFormatting>
  <conditionalFormatting sqref="H3:H156">
    <cfRule type="expression" dxfId="47" priority="8">
      <formula>CELL("fila")=ROW()</formula>
    </cfRule>
  </conditionalFormatting>
  <conditionalFormatting sqref="H3:H156">
    <cfRule type="expression" dxfId="46" priority="7">
      <formula>CELL("fila")=ROW()</formula>
    </cfRule>
  </conditionalFormatting>
  <conditionalFormatting sqref="H3:H156">
    <cfRule type="expression" dxfId="45" priority="6">
      <formula>CELL("fila")=ROW()</formula>
    </cfRule>
  </conditionalFormatting>
  <conditionalFormatting sqref="H3:H156">
    <cfRule type="expression" dxfId="44" priority="5">
      <formula>CELL("fila")=ROW()</formula>
    </cfRule>
  </conditionalFormatting>
  <conditionalFormatting sqref="H3:H156">
    <cfRule type="expression" dxfId="43" priority="4">
      <formula>CELL("fila")=ROW()</formula>
    </cfRule>
  </conditionalFormatting>
  <conditionalFormatting sqref="H3:H156">
    <cfRule type="expression" dxfId="42" priority="3">
      <formula>CELL("fila")=ROW()</formula>
    </cfRule>
  </conditionalFormatting>
  <conditionalFormatting sqref="H3:H156">
    <cfRule type="expression" dxfId="41" priority="2">
      <formula>CELL("fila")=ROW()</formula>
    </cfRule>
  </conditionalFormatting>
  <conditionalFormatting sqref="H3:H152">
    <cfRule type="expression" dxfId="40" priority="1">
      <formula>CELL("fila")=ROW()</formula>
    </cfRule>
  </conditionalFormatting>
  <dataValidations count="1">
    <dataValidation type="decimal" operator="greaterThanOrEqual" allowBlank="1" sqref="I2:J156 M2:M156 G2:G156 D2:E156" xr:uid="{00000000-0002-0000-0100-000000000000}">
      <formula1>0</formula1>
    </dataValidation>
  </dataValidations>
  <pageMargins left="0.25" right="0.25" top="0.28999999999999998" bottom="0.22" header="0.3" footer="0.3"/>
  <pageSetup scale="90" fitToHeight="0" orientation="portrait" horizontalDpi="120" verticalDpi="72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00000000-000E-0000-0100-000001000000}">
            <xm:f>$L2&lt;IF($I2="",Configuración!$B$3,$I2)</xm:f>
            <x14:dxf>
              <fill>
                <patternFill patternType="solid">
                  <fgColor rgb="FFF8D7DA"/>
                  <bgColor rgb="FFF8D7DA"/>
                </patternFill>
              </fill>
            </x14:dxf>
          </x14:cfRule>
          <xm:sqref>A2:C152 D2:P156</xm:sqref>
        </x14:conditionalFormatting>
        <x14:conditionalFormatting xmlns:xm="http://schemas.microsoft.com/office/excel/2006/main">
          <x14:cfRule type="expression" priority="36" id="{AEE91262-59BC-4CC2-B4FD-0469997C2700}">
            <xm:f>$L153&lt;IF($I153="",Configuración!$B$3,$I153)</xm:f>
            <x14:dxf>
              <fill>
                <patternFill patternType="solid">
                  <fgColor rgb="FFF8D7DA"/>
                  <bgColor rgb="FFF8D7DA"/>
                </patternFill>
              </fill>
            </x14:dxf>
          </x14:cfRule>
          <xm:sqref>A153:C153</xm:sqref>
        </x14:conditionalFormatting>
        <x14:conditionalFormatting xmlns:xm="http://schemas.microsoft.com/office/excel/2006/main">
          <x14:cfRule type="expression" priority="34" id="{F0EF6604-0519-47EC-A1F8-07C1354290D9}">
            <xm:f>$L154&lt;IF($I154="",Configuración!$B$3,$I154)</xm:f>
            <x14:dxf>
              <fill>
                <patternFill patternType="solid">
                  <fgColor rgb="FFF8D7DA"/>
                  <bgColor rgb="FFF8D7DA"/>
                </patternFill>
              </fill>
            </x14:dxf>
          </x14:cfRule>
          <xm:sqref>A154:C154</xm:sqref>
        </x14:conditionalFormatting>
        <x14:conditionalFormatting xmlns:xm="http://schemas.microsoft.com/office/excel/2006/main">
          <x14:cfRule type="expression" priority="30" id="{535D1A06-AF89-4E0B-AA12-DA8EFC181295}">
            <xm:f>$L155&lt;IF($I155="",Configuración!$B$3,$I155)</xm:f>
            <x14:dxf>
              <fill>
                <patternFill patternType="solid">
                  <fgColor rgb="FFF8D7DA"/>
                  <bgColor rgb="FFF8D7DA"/>
                </patternFill>
              </fill>
            </x14:dxf>
          </x14:cfRule>
          <xm:sqref>A155:C155</xm:sqref>
        </x14:conditionalFormatting>
        <x14:conditionalFormatting xmlns:xm="http://schemas.microsoft.com/office/excel/2006/main">
          <x14:cfRule type="expression" priority="28" id="{3E4CA13E-3F9E-49B6-92E7-653F4DCFA6EB}">
            <xm:f>$L156&lt;IF($I156="",Configuración!$B$3,$I156)</xm:f>
            <x14:dxf>
              <fill>
                <patternFill patternType="solid">
                  <fgColor rgb="FFF8D7DA"/>
                  <bgColor rgb="FFF8D7DA"/>
                </patternFill>
              </fill>
            </x14:dxf>
          </x14:cfRule>
          <xm:sqref>A156:C156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3CD0-4E4A-466C-A031-CD677E402103}">
  <dimension ref="A1:B72"/>
  <sheetViews>
    <sheetView tabSelected="1" workbookViewId="0">
      <selection activeCell="D17" sqref="D17"/>
    </sheetView>
  </sheetViews>
  <sheetFormatPr defaultColWidth="11.5546875" defaultRowHeight="14.4" x14ac:dyDescent="0.3"/>
  <sheetData>
    <row r="1" spans="1:2" x14ac:dyDescent="0.3">
      <c r="A1" t="s">
        <v>213</v>
      </c>
      <c r="B1" t="s">
        <v>214</v>
      </c>
    </row>
    <row r="2" spans="1:2" x14ac:dyDescent="0.3">
      <c r="A2" s="3">
        <v>670</v>
      </c>
      <c r="B2">
        <v>80</v>
      </c>
    </row>
    <row r="3" spans="1:2" x14ac:dyDescent="0.3">
      <c r="A3" s="3">
        <v>704</v>
      </c>
      <c r="B3">
        <v>4</v>
      </c>
    </row>
    <row r="4" spans="1:2" x14ac:dyDescent="0.3">
      <c r="A4" s="3">
        <v>773</v>
      </c>
      <c r="B4">
        <v>1</v>
      </c>
    </row>
    <row r="5" spans="1:2" x14ac:dyDescent="0.3">
      <c r="A5" s="3">
        <v>775</v>
      </c>
      <c r="B5">
        <v>1</v>
      </c>
    </row>
    <row r="6" spans="1:2" x14ac:dyDescent="0.3">
      <c r="A6" s="3">
        <v>781</v>
      </c>
      <c r="B6">
        <v>1</v>
      </c>
    </row>
    <row r="7" spans="1:2" x14ac:dyDescent="0.3">
      <c r="A7" s="3">
        <v>1351</v>
      </c>
      <c r="B7">
        <v>30</v>
      </c>
    </row>
    <row r="8" spans="1:2" x14ac:dyDescent="0.3">
      <c r="A8" s="3">
        <v>5125</v>
      </c>
      <c r="B8">
        <v>24</v>
      </c>
    </row>
    <row r="9" spans="1:2" x14ac:dyDescent="0.3">
      <c r="A9" s="3">
        <v>5533</v>
      </c>
      <c r="B9">
        <v>8</v>
      </c>
    </row>
    <row r="10" spans="1:2" x14ac:dyDescent="0.3">
      <c r="A10" s="3">
        <v>5535</v>
      </c>
      <c r="B10">
        <v>10</v>
      </c>
    </row>
    <row r="11" spans="1:2" x14ac:dyDescent="0.3">
      <c r="A11" s="3">
        <v>5536</v>
      </c>
      <c r="B11">
        <v>2</v>
      </c>
    </row>
    <row r="12" spans="1:2" x14ac:dyDescent="0.3">
      <c r="A12" s="3">
        <v>5538</v>
      </c>
      <c r="B12">
        <v>4</v>
      </c>
    </row>
    <row r="13" spans="1:2" x14ac:dyDescent="0.3">
      <c r="A13" s="3">
        <v>11522</v>
      </c>
      <c r="B13">
        <v>40</v>
      </c>
    </row>
    <row r="14" spans="1:2" x14ac:dyDescent="0.3">
      <c r="A14" s="3">
        <v>11524</v>
      </c>
      <c r="B14">
        <v>50</v>
      </c>
    </row>
    <row r="15" spans="1:2" x14ac:dyDescent="0.3">
      <c r="A15" s="3">
        <v>11531</v>
      </c>
      <c r="B15">
        <v>60</v>
      </c>
    </row>
    <row r="16" spans="1:2" x14ac:dyDescent="0.3">
      <c r="A16" s="3">
        <v>11547</v>
      </c>
      <c r="B16">
        <v>24</v>
      </c>
    </row>
    <row r="17" spans="1:2" x14ac:dyDescent="0.3">
      <c r="A17" s="3">
        <v>11548</v>
      </c>
      <c r="B17">
        <v>24</v>
      </c>
    </row>
    <row r="18" spans="1:2" x14ac:dyDescent="0.3">
      <c r="A18" s="3">
        <v>11551</v>
      </c>
      <c r="B18">
        <v>4</v>
      </c>
    </row>
    <row r="19" spans="1:2" x14ac:dyDescent="0.3">
      <c r="A19" s="3">
        <v>11556</v>
      </c>
      <c r="B19">
        <v>6</v>
      </c>
    </row>
    <row r="20" spans="1:2" x14ac:dyDescent="0.3">
      <c r="A20" s="3">
        <v>12521</v>
      </c>
      <c r="B20">
        <v>8</v>
      </c>
    </row>
    <row r="21" spans="1:2" x14ac:dyDescent="0.3">
      <c r="A21" s="3">
        <v>12561</v>
      </c>
      <c r="B21">
        <v>32</v>
      </c>
    </row>
    <row r="22" spans="1:2" x14ac:dyDescent="0.3">
      <c r="A22" s="3">
        <v>12563</v>
      </c>
      <c r="B22">
        <v>30</v>
      </c>
    </row>
    <row r="23" spans="1:2" x14ac:dyDescent="0.3">
      <c r="A23" s="3">
        <v>12572</v>
      </c>
      <c r="B23">
        <v>70</v>
      </c>
    </row>
    <row r="24" spans="1:2" x14ac:dyDescent="0.3">
      <c r="A24" s="3">
        <v>12591</v>
      </c>
      <c r="B24">
        <v>12</v>
      </c>
    </row>
    <row r="25" spans="1:2" x14ac:dyDescent="0.3">
      <c r="A25" s="3">
        <v>12597</v>
      </c>
      <c r="B25">
        <v>10</v>
      </c>
    </row>
    <row r="26" spans="1:2" x14ac:dyDescent="0.3">
      <c r="A26" s="3">
        <v>12603</v>
      </c>
      <c r="B26">
        <v>120</v>
      </c>
    </row>
    <row r="27" spans="1:2" x14ac:dyDescent="0.3">
      <c r="A27" s="3">
        <v>12613</v>
      </c>
      <c r="B27">
        <v>42</v>
      </c>
    </row>
    <row r="28" spans="1:2" x14ac:dyDescent="0.3">
      <c r="A28" s="3">
        <v>13513</v>
      </c>
      <c r="B28">
        <v>5</v>
      </c>
    </row>
    <row r="29" spans="1:2" x14ac:dyDescent="0.3">
      <c r="A29" s="3">
        <v>13521</v>
      </c>
      <c r="B29">
        <v>10</v>
      </c>
    </row>
    <row r="30" spans="1:2" x14ac:dyDescent="0.3">
      <c r="A30" s="3">
        <v>13556</v>
      </c>
      <c r="B30">
        <v>225</v>
      </c>
    </row>
    <row r="31" spans="1:2" x14ac:dyDescent="0.3">
      <c r="A31" s="3">
        <v>13557</v>
      </c>
      <c r="B31">
        <v>15</v>
      </c>
    </row>
    <row r="32" spans="1:2" x14ac:dyDescent="0.3">
      <c r="A32" s="3">
        <v>13560</v>
      </c>
      <c r="B32">
        <v>6</v>
      </c>
    </row>
    <row r="33" spans="1:2" x14ac:dyDescent="0.3">
      <c r="A33" s="3">
        <v>13561</v>
      </c>
      <c r="B33">
        <v>10</v>
      </c>
    </row>
    <row r="34" spans="1:2" x14ac:dyDescent="0.3">
      <c r="A34" s="3">
        <v>13571</v>
      </c>
      <c r="B34">
        <v>60</v>
      </c>
    </row>
    <row r="35" spans="1:2" x14ac:dyDescent="0.3">
      <c r="A35" s="3">
        <v>13573</v>
      </c>
      <c r="B35">
        <v>6</v>
      </c>
    </row>
    <row r="36" spans="1:2" x14ac:dyDescent="0.3">
      <c r="A36" s="3">
        <v>13582</v>
      </c>
      <c r="B36">
        <v>30</v>
      </c>
    </row>
    <row r="37" spans="1:2" x14ac:dyDescent="0.3">
      <c r="A37" s="3">
        <v>13584</v>
      </c>
      <c r="B37">
        <v>20</v>
      </c>
    </row>
    <row r="38" spans="1:2" x14ac:dyDescent="0.3">
      <c r="A38" s="3">
        <v>13588</v>
      </c>
      <c r="B38">
        <v>30</v>
      </c>
    </row>
    <row r="39" spans="1:2" x14ac:dyDescent="0.3">
      <c r="A39" s="3">
        <v>13616</v>
      </c>
      <c r="B39">
        <v>4</v>
      </c>
    </row>
    <row r="40" spans="1:2" x14ac:dyDescent="0.3">
      <c r="A40" s="3">
        <v>14515</v>
      </c>
      <c r="B40">
        <v>100</v>
      </c>
    </row>
    <row r="41" spans="1:2" x14ac:dyDescent="0.3">
      <c r="A41" s="3">
        <v>14561</v>
      </c>
      <c r="B41">
        <v>10</v>
      </c>
    </row>
    <row r="42" spans="1:2" x14ac:dyDescent="0.3">
      <c r="A42" s="3">
        <v>14574</v>
      </c>
      <c r="B42">
        <v>50</v>
      </c>
    </row>
    <row r="43" spans="1:2" x14ac:dyDescent="0.3">
      <c r="A43" s="3">
        <v>14587</v>
      </c>
      <c r="B43">
        <v>20</v>
      </c>
    </row>
    <row r="44" spans="1:2" x14ac:dyDescent="0.3">
      <c r="A44" s="3">
        <v>14607</v>
      </c>
      <c r="B44">
        <v>30</v>
      </c>
    </row>
    <row r="45" spans="1:2" x14ac:dyDescent="0.3">
      <c r="A45" s="3">
        <v>15521</v>
      </c>
      <c r="B45">
        <v>10</v>
      </c>
    </row>
    <row r="46" spans="1:2" x14ac:dyDescent="0.3">
      <c r="A46" s="3">
        <v>16540</v>
      </c>
      <c r="B46">
        <v>6</v>
      </c>
    </row>
    <row r="47" spans="1:2" x14ac:dyDescent="0.3">
      <c r="A47" s="3">
        <v>16553</v>
      </c>
      <c r="B47">
        <v>6</v>
      </c>
    </row>
    <row r="48" spans="1:2" x14ac:dyDescent="0.3">
      <c r="A48" s="3">
        <v>16579</v>
      </c>
      <c r="B48">
        <v>2</v>
      </c>
    </row>
    <row r="49" spans="1:2" x14ac:dyDescent="0.3">
      <c r="A49" s="3">
        <v>16592</v>
      </c>
      <c r="B49">
        <v>20</v>
      </c>
    </row>
    <row r="50" spans="1:2" x14ac:dyDescent="0.3">
      <c r="A50" s="3">
        <v>16593</v>
      </c>
      <c r="B50">
        <v>60</v>
      </c>
    </row>
    <row r="51" spans="1:2" x14ac:dyDescent="0.3">
      <c r="A51" s="3">
        <v>17557</v>
      </c>
      <c r="B51">
        <v>30</v>
      </c>
    </row>
    <row r="52" spans="1:2" x14ac:dyDescent="0.3">
      <c r="A52" s="3">
        <v>17558</v>
      </c>
      <c r="B52">
        <v>2</v>
      </c>
    </row>
    <row r="53" spans="1:2" x14ac:dyDescent="0.3">
      <c r="A53" s="3">
        <v>115412</v>
      </c>
      <c r="B53">
        <v>60</v>
      </c>
    </row>
    <row r="54" spans="1:2" x14ac:dyDescent="0.3">
      <c r="A54" s="3">
        <v>125112</v>
      </c>
      <c r="B54">
        <v>1</v>
      </c>
    </row>
    <row r="55" spans="1:2" x14ac:dyDescent="0.3">
      <c r="A55" s="3">
        <v>125142</v>
      </c>
      <c r="B55">
        <v>100</v>
      </c>
    </row>
    <row r="56" spans="1:2" x14ac:dyDescent="0.3">
      <c r="A56" s="3">
        <v>125143</v>
      </c>
      <c r="B56">
        <v>20</v>
      </c>
    </row>
    <row r="57" spans="1:2" x14ac:dyDescent="0.3">
      <c r="A57" s="3">
        <v>125150</v>
      </c>
      <c r="B57">
        <v>256</v>
      </c>
    </row>
    <row r="58" spans="1:2" x14ac:dyDescent="0.3">
      <c r="A58" s="3">
        <v>125153</v>
      </c>
      <c r="B58">
        <v>32</v>
      </c>
    </row>
    <row r="59" spans="1:2" x14ac:dyDescent="0.3">
      <c r="A59" s="3">
        <v>125162</v>
      </c>
      <c r="B59">
        <v>12</v>
      </c>
    </row>
    <row r="60" spans="1:2" x14ac:dyDescent="0.3">
      <c r="A60" s="3">
        <v>125170</v>
      </c>
      <c r="B60">
        <v>6</v>
      </c>
    </row>
    <row r="61" spans="1:2" x14ac:dyDescent="0.3">
      <c r="A61" s="3">
        <v>125191</v>
      </c>
      <c r="B61">
        <v>30</v>
      </c>
    </row>
    <row r="62" spans="1:2" x14ac:dyDescent="0.3">
      <c r="A62" s="3">
        <v>125641</v>
      </c>
      <c r="B62">
        <v>6</v>
      </c>
    </row>
    <row r="63" spans="1:2" x14ac:dyDescent="0.3">
      <c r="A63" s="3">
        <v>125972</v>
      </c>
      <c r="B63">
        <v>4</v>
      </c>
    </row>
    <row r="64" spans="1:2" x14ac:dyDescent="0.3">
      <c r="A64" s="3">
        <v>145102</v>
      </c>
      <c r="B64">
        <v>5</v>
      </c>
    </row>
    <row r="65" spans="1:2" x14ac:dyDescent="0.3">
      <c r="A65" s="3">
        <v>145143</v>
      </c>
      <c r="B65">
        <v>100</v>
      </c>
    </row>
    <row r="66" spans="1:2" x14ac:dyDescent="0.3">
      <c r="A66" s="3">
        <v>145174</v>
      </c>
      <c r="B66">
        <v>210</v>
      </c>
    </row>
    <row r="67" spans="1:2" x14ac:dyDescent="0.3">
      <c r="A67" s="3">
        <v>1451633</v>
      </c>
      <c r="B67">
        <v>100</v>
      </c>
    </row>
    <row r="68" spans="1:2" x14ac:dyDescent="0.3">
      <c r="A68" s="3" t="s">
        <v>12</v>
      </c>
      <c r="B68">
        <v>6</v>
      </c>
    </row>
    <row r="69" spans="1:2" x14ac:dyDescent="0.3">
      <c r="A69" s="3" t="s">
        <v>17</v>
      </c>
      <c r="B69">
        <v>15</v>
      </c>
    </row>
    <row r="70" spans="1:2" x14ac:dyDescent="0.3">
      <c r="A70" s="3" t="s">
        <v>65</v>
      </c>
      <c r="B70">
        <v>20</v>
      </c>
    </row>
    <row r="71" spans="1:2" x14ac:dyDescent="0.3">
      <c r="A71" s="3" t="s">
        <v>38</v>
      </c>
      <c r="B71">
        <v>30</v>
      </c>
    </row>
    <row r="72" spans="1:2" x14ac:dyDescent="0.3">
      <c r="A72" s="3" t="s">
        <v>73</v>
      </c>
      <c r="B72">
        <v>100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defaultColWidth="9.109375" defaultRowHeight="14.4" x14ac:dyDescent="0.3"/>
  <cols>
    <col min="1" max="1" width="110" customWidth="1"/>
  </cols>
  <sheetData>
    <row r="1" spans="1:1" ht="374.4" x14ac:dyDescent="0.3">
      <c r="A1" s="2" t="s">
        <v>63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Configuración</vt:lpstr>
      <vt:lpstr>Pedidos</vt:lpstr>
      <vt:lpstr>Hoja1</vt:lpstr>
      <vt:lpstr>Instrucciones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Milton Sánchez</cp:lastModifiedBy>
  <cp:revision/>
  <cp:lastPrinted>2026-06-26T14:45:21Z</cp:lastPrinted>
  <dcterms:created xsi:type="dcterms:W3CDTF">2026-02-21T22:01:31Z</dcterms:created>
  <dcterms:modified xsi:type="dcterms:W3CDTF">2026-07-30T00:35:17Z</dcterms:modified>
  <cp:category/>
  <cp:contentStatus/>
</cp:coreProperties>
</file>